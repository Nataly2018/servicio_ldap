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TRABAJO\PROYECTOS\POA\SRC\nova\src\backend\src\main\resources\excel\"/>
    </mc:Choice>
  </mc:AlternateContent>
  <bookViews>
    <workbookView xWindow="32970" yWindow="0" windowWidth="15765" windowHeight="7800"/>
  </bookViews>
  <sheets>
    <sheet name="ACP-OPER" sheetId="26" r:id="rId1"/>
    <sheet name="ACP-POND" sheetId="28" r:id="rId2"/>
    <sheet name="GRAF-ACP" sheetId="30" r:id="rId3"/>
    <sheet name="ACP-EJEC-PPTO" sheetId="29" r:id="rId4"/>
  </sheets>
  <definedNames>
    <definedName name="_xlnm.Print_Titles" localSheetId="3">'ACP-EJEC-PPTO'!$2:$13</definedName>
    <definedName name="_xlnm.Print_Titles" localSheetId="1">'ACP-POND'!$2:$13</definedName>
  </definedNames>
  <calcPr calcId="162913"/>
  <pivotCaches>
    <pivotCache cacheId="272" r:id="rId5"/>
  </pivotCaches>
</workbook>
</file>

<file path=xl/calcChain.xml><?xml version="1.0" encoding="utf-8"?>
<calcChain xmlns="http://schemas.openxmlformats.org/spreadsheetml/2006/main">
  <c r="C18" i="28" l="1"/>
  <c r="C19" i="28"/>
  <c r="C20" i="28"/>
  <c r="C21" i="28"/>
  <c r="C22" i="28"/>
  <c r="C23" i="28"/>
  <c r="C24" i="28"/>
  <c r="C25" i="28"/>
  <c r="C26" i="28"/>
  <c r="C27" i="28"/>
  <c r="C28" i="28"/>
  <c r="C29" i="28"/>
  <c r="C30" i="28"/>
  <c r="C14" i="28" l="1"/>
  <c r="C15" i="28"/>
  <c r="C16" i="28"/>
  <c r="C17" i="28"/>
  <c r="E2" i="30" l="1"/>
  <c r="D2" i="26" l="1"/>
  <c r="C14" i="26" l="1"/>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E2" i="29" l="1"/>
  <c r="E2" i="28"/>
</calcChain>
</file>

<file path=xl/sharedStrings.xml><?xml version="1.0" encoding="utf-8"?>
<sst xmlns="http://schemas.openxmlformats.org/spreadsheetml/2006/main" count="192" uniqueCount="114">
  <si>
    <t>ACCIONES DE CORTO PLAZO</t>
  </si>
  <si>
    <t>OPERACIÓN</t>
  </si>
  <si>
    <t>SIGLAS DE UNIDADES ORGANIZACIONALES</t>
  </si>
  <si>
    <t>% EFICACIA PROMEDIO 
PONDERADA</t>
  </si>
  <si>
    <t>OBSERVACIONES</t>
  </si>
  <si>
    <t>JUSTIFICACIONES</t>
  </si>
  <si>
    <t>ACCIONES CORRECTIVAS</t>
  </si>
  <si>
    <t>TIPO</t>
  </si>
  <si>
    <t>MARZO</t>
  </si>
  <si>
    <t>PONDERACIÓN POR ACP</t>
  </si>
  <si>
    <t>EFICACIA EN BASE A  PONDERACIÓN POR ACP</t>
  </si>
  <si>
    <t>OPERACIONES POR ACP</t>
  </si>
  <si>
    <t>% DE OPERACIONES POR ACP</t>
  </si>
  <si>
    <t xml:space="preserve">TOTAL SALDO NO EJECUTADO </t>
  </si>
  <si>
    <t>PRESUPUESTO DE GASTO CORRIENTE PROGRAMADO VIGENTE</t>
  </si>
  <si>
    <t>PRESUPUESTO DE INVERSIÓN PROGRAMADO VIGENTE</t>
  </si>
  <si>
    <t>PLAN OPERATIVO ANUAL (POA) 2024</t>
  </si>
  <si>
    <t xml:space="preserve">Máx. de % EFICACIA PROMEDIO </t>
  </si>
  <si>
    <t>Etiquetas de columna</t>
  </si>
  <si>
    <t>Etiquetas de fila</t>
  </si>
  <si>
    <t>SATISFACTORIO</t>
  </si>
  <si>
    <t>ACEPTABLE</t>
  </si>
  <si>
    <t>INCUMPLIDO</t>
  </si>
  <si>
    <t>REZAGADO</t>
  </si>
  <si>
    <t>21</t>
  </si>
  <si>
    <t>sec</t>
  </si>
  <si>
    <t>DETALLE ACP</t>
  </si>
  <si>
    <t>GCGN</t>
  </si>
  <si>
    <t>GPDI</t>
  </si>
  <si>
    <t>3.1</t>
  </si>
  <si>
    <t>3.19.1</t>
  </si>
  <si>
    <t>Exportar  volúmenes de Gas Natural disponibles.</t>
  </si>
  <si>
    <t xml:space="preserve">3.19.1.3
Se tiene una mayor ejecución que lo programado, una vez que se incluyó entregas al contrato de MGas (Ex-Mercurio) en su modalidad Interrumpible.
3.19.1.7
Se tiene una mayor ejecución que lo programado, una vez que se incluyó entregas al contrato de MGas (Ex-Mercurio) en su modalidad Interrumpible.
</t>
  </si>
  <si>
    <t>3.2</t>
  </si>
  <si>
    <t>3.24.1</t>
  </si>
  <si>
    <t>Comercialización Urea en el Mercado Externo.</t>
  </si>
  <si>
    <t xml:space="preserve">3.24.1.2
No se alcanzó el volumen objetivo de venta en el mes de marzo debido al que a partir del 01/03/2024 se realizó el Paro Programado de Planta (PPP) de la Planta Amoniaco y Urea. El PPP no fue previsto para la fecha citada al momento de realizar la programación de objetivos, ya que fue confirmado en el mes de febrero de 2024 por parte de la GIND.
3.24.1.1
La presente tarea tuvo una sobre ejecución de metas debido a que:
1.- No se alcanzó el volumen objetivo de venta en el mes de marzo debido al que a partir del 01/03/2024 se realizó el Paro Programado de Planta (PPP) de la Planta Amoniaco y Urea. El PPP no fue previsto para la fecha citada al momento de realizar la programación de objetivos, ya que fue confirmado en el mes de febrero de 2024 por parte de la GIND.
3.24.1.3
La presente tarea tuvo una sobre ejecución de metas debido a que:
1.- Si bien la programación se realizó con la previsión de suscribir 5 contratos/órdenes de venta mensuales, debido al volumen disponible, se procedió a realizar la comercialización mediante órdenes de venta para el despacho inmediato de producto.
</t>
  </si>
  <si>
    <t>3.3</t>
  </si>
  <si>
    <t>3.24.2</t>
  </si>
  <si>
    <t>Comercializar Hidrocarburos Líquidos en el Mercado Externo.</t>
  </si>
  <si>
    <t xml:space="preserve">3.24.2.1
La presente tarea tuvo una sobre ejecución de metas debido a que:
1.- Los contratos de venta deben ser procesados con la debida anticipación, a fin de que se pueda realizar la venta de oportunidad de los productos excedentarios.
2.- En el mes de marzo, el proceso no fue ejecutado porque no era factible emitir nuevos contratos, porque de acuerdo a PRODE, los excedentes fueron limitados. 
3.24.2.3
La presente tarea tuvo una sobre ejecución de metas debido a que:
1.- La exportación efectuada para el cumplimiento del objetivo se realizó en función a las cantidades disponibles, por lo tanto, se procedió al aprovechamiento de la venta del producto disponible al mercado internacional, para generar divisas para el Estado Boliviano a través de YPFB.
3.24.2.4
La presente tarea no se ejecutó a cabalidad debido a que:
1. Son las cantidades disponibles para exportación, que son debidamente programadas en el PRODE ANH mensualmente.
</t>
  </si>
  <si>
    <t xml:space="preserve">3.24.2.4
Las acciones correctivas para la presente tarea son:
1.- No aplica acciones correctivas debido a que la cantidad está relacionada con la disponibilidad de producto.
</t>
  </si>
  <si>
    <t>4.1</t>
  </si>
  <si>
    <t>4.16.1</t>
  </si>
  <si>
    <t>Incrementar datos técnicos hidrocarburíferos  en las Bases de Datos del CNIH, para facilitar la atención a clientes de YPFB y cumplir el Plan de Remasterización de Cintas Magnéticas</t>
  </si>
  <si>
    <t>CNIH</t>
  </si>
  <si>
    <t xml:space="preserve">4.16.1.4
1.-TAREA REALIZADA EN FUNCIÓN DE LO PROGRAMADO EN EL PLAN DE REMASTERIZACIÓN DE CINTAS MAGNETICAS
</t>
  </si>
  <si>
    <t>4.2</t>
  </si>
  <si>
    <t>4.16.2</t>
  </si>
  <si>
    <t>Atender los requerimientos de información técnica hidrocarburífera de clientes de YPFB.</t>
  </si>
  <si>
    <t xml:space="preserve">4.16.2.2
1.- SE ATENDIERON TODAS LAS SOLICITUDES DE INFORMACIÓN TÉCNICA HIDROCARBURIFERA Y MUESTRAS GEOLÓGICAS DURANTE EL 1ER TRIMESTRE DE LA PRESENTE GESTIÓN
4.16.2.3
1.- SE ATENDIERON TODAS LAS SOLICITUDES DE VALORACION DE INFORMACIÓN TÉCNICA HIDROCARBURIFERA Y MUESTRAS GEOLÓGICAS DURANTE EL 1ER TRIMESTRE DE LA PRESENTE GESTIÓN
4.16.2.4
1.- SE EFECTUARON LAS VENTAS DE INFORMACIÓN TÉCNICA HIDROCARBURIFERA Y MUESTRAS GEOLÓGICAS SOLICITADAS POR CLIENTES, DURANTE EL 1ER TRIMESTRE DE LA PRESENTE GESTIÓN
</t>
  </si>
  <si>
    <t>4.3</t>
  </si>
  <si>
    <t>4.16.3</t>
  </si>
  <si>
    <t>Cumplir el Plan de Mejora para las actividades administrativas y operativas de la Litoteca Nacional</t>
  </si>
  <si>
    <t>4.4</t>
  </si>
  <si>
    <t>4.17.1</t>
  </si>
  <si>
    <t>Evaluar, generar y/o ejecutar proyectos exploratorios regionales/locales en zonas de interés hidrocarburífero</t>
  </si>
  <si>
    <t>GATC</t>
  </si>
  <si>
    <t xml:space="preserve">4.17.1.2
La presente tarea tuvo una sobre ejecución de metas debido a que:
1.- Se adelantó en el mes de marzo realizar el Informe de Evaluación Hidrocarburífera Área Lliquimuni Sinclinal Mayaya GATC/DEEA-064 DDEX-059/2024 debido a la obtención de la Información del Pozo MAYAYA-X1, se trabajó en el IEH del área Lliquimuni Sinclinal Mayaya para proponer pozos exploratorios.
4.17.1.3
La presente tarea tuvo una sobre ejecución de metas debido a que:
1. La aprobación en Directorio del Proyecto Pozo de Investigación Estratigráfica MIRAFLORES-X3 IE se realizó en el mes de febrero, misma que estaba programada desde la gestión 2023.
4.17.1.8
La presente tarea no se ejecutó a cabalidad debido a que:
1.- Debido a fuerza mayor en el proyecto en la gestión 2023, no se completó el 10% programado a marzo 2024 puesto que se firmó el contrato modificatorio al contrato N° ULG-SCZ 190/2022 para extender el plazo del proyecto de 500 a 540 días calendario, siendo la nueva fecha de finalización del proyecto en fecha 08/05/2024.
Sin embargo, se realizaron los siguientes informes técnicos:
Enero: 
Informe Mensual VPACF/GATC-019 DEEA-027/2024  
Febrero: 
Informe Mensual VPACF/GATC-044 DEEA-048/2024  
Marzo: 
Informe Mensual VPACF/GATC-80 DEEA-76/2024  
</t>
  </si>
  <si>
    <t xml:space="preserve">4.17.1.8
Las acciones correctivas para la presente tarea son:
1.- Se realizó el contrato modificatorio al contrato N° ULG-SCZ 190/2022 para extender el plazo del proyecto de 500 a 540 días calendario y por consiguiente se gestionó la modificación presupuestaria correspondiente.
</t>
  </si>
  <si>
    <t>4.5</t>
  </si>
  <si>
    <t>4.17.2</t>
  </si>
  <si>
    <t>Efectuar la administración técnica de Contratos de Servicios Petroleros (CSP) para las actividades de exploración en el marco de la normativa legal vigente.</t>
  </si>
  <si>
    <t xml:space="preserve">4.17.2.1
La presente tarea tuvo una sobre ejecución de metas debido a que:
1.- En el mes de febrero se aprobaron en directorio los PIE´s de las áreas San Telmo Sur y Cupecito los cuales se viene trabajando desde la gestión anterior.
4.17.2.4
La presente tarea tuvo una sobre ejecución de metas debido a que:
1.- Se adelantó la tarea programada para el mes de abril en el mes de marzo: se elaboró el Informe del portafolio exploratorio -1/2024 YPFB/VPACF/GATC-054/DEEA-054/DECP-026/2024. Se realizó el seguimiento trimestral del portafolio exploratorio.
4.17.2.5
La presente tarea tuvo una sobre ejecución de metas debido a que: 
1. En función a los requerimientos de la operadora se realizó el Informe de Oportunidades Palmar VPACF/GATC-043 DDEX-039 DEEA-047 DECP-22/2024 
4.17.2.7
La presente tarea no se ejecutó a cabalidad debido a que:
1. Se tenía programado realizar la evaluación de los pozos VGR-X1001 y ITY-X1, sin embargo, los mismos fueron evaluados y abandonados en la gestión 2023. Por tanto, no se logrará la meta de 1 evaluación en febrero y 1 en marzo, toda vez que la tarea ya fue realizada.
Para el mes de febrero se emitió Nota y formulario de aprobación del Programa de Abandono Temporal del pozo VPACF/GATC-140 DECP-031/2024 (AST-X1)
4.17.2.8
La presente tarea tuvo una sobre ejecución de metas debido a que:
1. a partir del mes de febrero la DEEA emite informes de seguimiento a proyectos exploratorios:
Enero:
Informe Técnico de seguimiento GATC/DECP-10/2024
Febrero:
Informe Técnico de seguimiento GATC/DECP-021/2024 
Informe Técnico Proyectos de Inversión VPACF/GATC/DEEA-28/2024
Marzo:
Informe Técnico de seguimiento VPACF/GATC-75 DECP-029/2024
Informe Técnico Proyectos de Inversión VPACF/GATC/DEEA-046/2024 
</t>
  </si>
  <si>
    <t xml:space="preserve">4.17.2.7
Las acciones correctivas para la presente tarea son:
1.- No existirían acciones correctivas para la presente tarea debido a que la evaluación de los pozos VGR-X1001 y ITY-X1 se realizó y fue reportada en la gestión 2023.
</t>
  </si>
  <si>
    <t>4.6</t>
  </si>
  <si>
    <t>4.18.1</t>
  </si>
  <si>
    <t>Negociar y gestionar los contratos petroleros vigentes y nuevos contratos hasta su aprobación en la Asamblea Legislativa Plurinacional del Estado</t>
  </si>
  <si>
    <t>GAEF</t>
  </si>
  <si>
    <t>4.7</t>
  </si>
  <si>
    <t>4.20.1</t>
  </si>
  <si>
    <t>Fiscalizar las actividades de obras civiles, socio ambientales , Geología, Geofísica, Perforación, Terminación, Intervención y abandono en los proyectos exploratorios de acuerdo a la aprobación de los PTPs para  las empresas operadoras y con fines de costos recuperables.</t>
  </si>
  <si>
    <t>GNF</t>
  </si>
  <si>
    <t>4.8</t>
  </si>
  <si>
    <t>4.21.1</t>
  </si>
  <si>
    <t>Lograr el cumplimiento de las actividades exploratorias para el descubrimiento de volúmenes de hidrocarburos.</t>
  </si>
  <si>
    <t>GNEE</t>
  </si>
  <si>
    <t xml:space="preserve">4.21.1.22
La presente tarea se ejecutó de manera satisfactoria, debido a que:
1. Se concluyó al 100% con la ejecución física programada para la gestión 2024, durante el primer trimestre.
4.21.1.2
La presente tarea se ejecutó de manera satisfactoria, debido a que:
1. El mayor porcentaje de ejecución para el primer trimestre, corresponde a la primera fase de rehabilitación de camino de acceso y planchada2. , las mismas incluyen mayor volumetría y personal durante la ejecución.
2. En la segunda fase, se ejecutará a requerimiento, el apoyo a la perforación y mantenimiento de canales industriales y áreas operativas para la perforación del Pozo VMT-X7.
4.21.1.3
La presente tarea no se ejecutó a cabalidad, debido a que:
1. Existe una demora en el inicio de la perforación, por retrasos en los tiempos de los procesos de contratación, como ser: plazos de entrega de materiales (Cabezales, Trépanos, Cañerías).
4.21.1.4
La presente tarea tuvo una sobre ejecución de metas debido a que:
1. En función del avance de las operaciones, se alcanzó una TD Final de 6.000m (500m más de lo programado).
2. El incremento de la profundidad ha generado cambios en el avance físico y financiero, incrementando los mismos y su ponderación.
4.21.1.25
La presente tarea se ejecutó de manera satisfactoria debido a que:
1. El presupuesto inicial de gasto corriente era de Bs343.030.082,00.- sin embargo, por la existencia de deuda flotante de la gestión 2023, se realizó un incremento de Bs196.396.055,52.- haciendo que el presupuesto vigente llegara a Bs539.426.137,52.
2. Dado que la deuda flotante se ejecutó en los meses de enero y febrero de 2024, además que éstas representaron el 36,46% del total del presupuesto de gasto corriente, hicieron que la ejecución presupuestaria que se ve reflejada, sea mayor a lo que se había programado inicialmente.   
4.21.1.5
La presente tarea no se ejecutó a cabalidad debido a que:
1. Los problemas sociales con la comunidad "El Nueve", no hacen posible el ingreso de los equipos y personal necesario para realizar el mantenimiento de las Obras Civiles del Proyecto.
4.21.1.6
La presente tarea no se ejecutó a cabalidad debido a que:
1. Los problemas sociales con la comunidad "El Nueve", no hacen posible iniciar la movilización del Equipo de Perforación al predio del Proyecto.
4.21.1.9
La presente tarea no se ejecutó a cabalidad debido a que:
1. Se han presentado algunos retrasos en la ejecución física de las actividades del proyecto,  debido a factores climáticos adversos, ocasionando el retraso en la Construcción de Camino y Planchada.
</t>
  </si>
  <si>
    <t xml:space="preserve">4.21.1.3
La acción correctiva para la presente tarea consiste en:
1. Optimizar los tiempos de entrega en los procesos de contratación de bienes y servicios, requeridos para iniciar el DTM hasta el mes de mayo y la perforación hasta el mes de junio de 2024.
4.21.1.5
Las acciones correctivas para la presente tarea son:
1. Coordinar con la GSAC, además de las instancias internas y externas correspondientes, para viabilizar la movilización del equipo y personal requerido al predio para el inicio de actividades y operaciones, hasta el 15 de abril de 2024.
4.21.1.6
Las acciones correctivas para la presente tarea son:
1. Coordinar con la GSAC, además de las instancias internas y externas correspondientes, para viabilizar la movilización del Equipo de Perforación al predio para el inicio de operaciones, hasta el 15 de abril de 2024.
4.21.1.9
Las acciones correctivas para la presente tarea son:
1. Optimizar el cronograma del proyecto, para recuperar tiempos en el desarrollo de las actividades, durante el siguiente trimestre, hasta el mes de junio de 2024.
</t>
  </si>
  <si>
    <t>4.9</t>
  </si>
  <si>
    <t>4.21.2</t>
  </si>
  <si>
    <t>Realizar la supervisión y administración a las actividades de Operación y Mantenimiento de los Equipos de Perforación.</t>
  </si>
  <si>
    <t xml:space="preserve">4.21.2.1
La presente tarea se ejecutó de manera satisfactoria debido a que:
1. Los Equipos de Perforación de YPFB, se encuentran en periodo de devolución y se está realizando la inspección correspondiente para el cierre de observaciones en curso.
4.21.2.2
La presente tarea se ejecutó de manera satisfactoria debido a que:
1. Fueron realizadas las Ordenes de Trabajo con mantenimiento, para devolución de Equipos de Perforación por parte de O&amp;M.
</t>
  </si>
  <si>
    <t>TOTAL EFICACIA ACP</t>
  </si>
  <si>
    <t>Consolidar las exportaciones de gas natural y productos industrializados, a fin de optimizar los retornos de las actividades hidrocarburíferas de YPFB.</t>
  </si>
  <si>
    <t/>
  </si>
  <si>
    <t>Lograr la reposición de reservas de gas natural y líquidos a través de actividades que permitan mayores inversiones en exploración</t>
  </si>
  <si>
    <t>Seguimiento y Evaluación de las acciones de corto plazo del $POA$ al mes de $MES$
Eficacia promedio ponderada por acción de corto plazo</t>
  </si>
  <si>
    <t>Seguimiento y Evaluación de la Consecución de las Acciones de Corto Plazo del 
$POA$ al mes de $MES$</t>
  </si>
  <si>
    <t>CÓDIGO ACP</t>
  </si>
  <si>
    <t>CÓDIGO SECUENCIAL</t>
  </si>
  <si>
    <t xml:space="preserve">CÓDIGO DE OPERACIÓN                              </t>
  </si>
  <si>
    <t>EVALUACIÓN</t>
  </si>
  <si>
    <t>EVALUACIÓN DE EFICACIA PROMEDIO PONDERADA</t>
  </si>
  <si>
    <t>EVALUACIÓN EFICACIA EN BASE A  PONDERACIÓN POR ACP</t>
  </si>
  <si>
    <t>Seguimiento y Evaluación de las Acciones de Corto Plazo del 
$POA$ al mes de $MES$
Eficacia promedio ponderada por Acción de Corto Plazo</t>
  </si>
  <si>
    <t>Seguimiento y Evaluación de la ejecución del 
$POA$ al mes de $MES$
Indicadores generales de eficacia y eficiencia por Acción de Corto Plazo</t>
  </si>
  <si>
    <t>TOTAL PRESUPUESTO   PROGRAMADO VIGENTE</t>
  </si>
  <si>
    <t>EJECUCIÓN GASTO CORRIENTE</t>
  </si>
  <si>
    <t>EJECUCIÓN INVERSIÓN</t>
  </si>
  <si>
    <t>TOTAL PRESUPUESTO  EJECUTADO</t>
  </si>
  <si>
    <t xml:space="preserve">DAIC; GTHC; PRS; DGC; DCC; GCC; GTIC; GSAC; DTC; GAFC; GPC; GLC; </t>
  </si>
  <si>
    <t>Optimizar procesos administrativos y de gestión que permitan a la empresa trabajar de manera más rentable, eficiente, transparente y considerando medidas de responsabilidad social, ambiental y de bioseguridad para los trabajadores y su entorno, enfatizando en un modelo de gestión de talento humano</t>
  </si>
  <si>
    <t>% EFICIENCIA EJECUCIÓN PRESU-
PUESTARIA</t>
  </si>
  <si>
    <t>1</t>
  </si>
  <si>
    <t>2</t>
  </si>
  <si>
    <t>3</t>
  </si>
  <si>
    <t>4</t>
  </si>
  <si>
    <t>5</t>
  </si>
  <si>
    <t>6</t>
  </si>
  <si>
    <t>7</t>
  </si>
  <si>
    <t>8</t>
  </si>
  <si>
    <t>9</t>
  </si>
  <si>
    <t>EFICACIA GENERAL PROMEDIO POR ACCIONES DE CORTO PLAZO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</si>
</sst>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
  </numFmts>
  <fonts count="11" x14ac:knownFonts="1">
    <font>
      <sz val="11"/>
      <color theme="1"/>
      <name val="Calibri"/>
      <family val="2"/>
      <scheme val="minor"/>
    </font>
    <font>
      <sz val="11"/>
      <color theme="0"/>
      <name val="Calibri"/>
      <family val="2"/>
      <scheme val="minor"/>
    </font>
    <font>
      <sz val="8"/>
      <color theme="1"/>
      <name val="Lucida Bright"/>
      <family val="1"/>
    </font>
    <font>
      <b/>
      <sz val="18"/>
      <color theme="1"/>
      <name val="Lucida Bright"/>
      <family val="1"/>
    </font>
    <font>
      <b/>
      <sz val="14"/>
      <color theme="1"/>
      <name val="Lucida Bright"/>
      <family val="1"/>
    </font>
    <font>
      <sz val="10"/>
      <color theme="1"/>
      <name val="Arial"/>
      <family val="2"/>
    </font>
    <font>
      <sz val="9"/>
      <color theme="0"/>
      <name val="Arial Narrow"/>
      <family val="2"/>
    </font>
    <font>
      <b/>
      <sz val="9"/>
      <color theme="0"/>
      <name val="Arial Narrow"/>
      <family val="2"/>
    </font>
    <font>
      <sz val="11"/>
      <color theme="1"/>
      <name val="Calibri"/>
      <family val="2"/>
      <scheme val="minor"/>
    </font>
    <font>
      <b/>
      <sz val="11"/>
      <color theme="0"/>
      <name val="Calibri"/>
      <family val="2"/>
      <scheme val="minor"/>
    </font>
    <font>
      <sz val="11"/>
      <color theme="1"/>
      <name val="Calibri"/>
      <family val="2"/>
      <scheme val="minor"/>
    </font>
  </fonts>
  <fills count="6">
    <fill>
      <patternFill patternType="none"/>
    </fill>
    <fill>
      <patternFill patternType="gray125"/>
    </fill>
    <fill>
      <patternFill patternType="solid">
        <fgColor theme="8"/>
      </patternFill>
    </fill>
    <fill>
      <patternFill patternType="solid">
        <fgColor theme="4"/>
      </patternFill>
    </fill>
    <fill>
      <patternFill patternType="solid">
        <fgColor theme="5"/>
      </patternFill>
    </fill>
    <fill>
      <patternFill patternType="solid">
        <fgColor theme="9"/>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thin">
        <color rgb="FF000000"/>
      </bottom>
      <diagonal/>
    </border>
  </borders>
  <cellStyleXfs count="6">
    <xf numFmtId="0" fontId="0" fillId="0" borderId="0"/>
    <xf numFmtId="0" fontId="1" fillId="2" borderId="0" applyNumberFormat="0" applyBorder="0" applyAlignment="0" applyProtection="0"/>
    <xf numFmtId="9" fontId="8" fillId="0" borderId="0" applyFont="0" applyFill="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cellStyleXfs>
  <cellXfs count="38">
    <xf numFmtId="0" fontId="0" fillId="0" borderId="0" xfId="0"/>
    <xf numFmtId="0" fontId="2" fillId="0" borderId="0" xfId="0" applyFont="1"/>
    <xf numFmtId="0" fontId="3" fillId="0" borderId="0" xfId="0" applyFont="1" applyAlignment="1">
      <alignment vertical="center"/>
    </xf>
    <xf numFmtId="0" fontId="4" fillId="0" borderId="0" xfId="0" applyFont="1" applyAlignment="1">
      <alignment vertical="center"/>
    </xf>
    <xf numFmtId="0" fontId="5" fillId="0" borderId="0" xfId="0" applyFont="1"/>
    <xf numFmtId="0" fontId="2" fillId="0" borderId="0" xfId="0" applyFont="1" applyAlignment="1">
      <alignment wrapText="1"/>
    </xf>
    <xf numFmtId="0" fontId="6" fillId="2" borderId="2" xfId="1" applyFont="1" applyBorder="1" applyAlignment="1">
      <alignment horizontal="center" vertical="center" wrapText="1"/>
    </xf>
    <xf numFmtId="0" fontId="6" fillId="2" borderId="3" xfId="1" applyFont="1" applyBorder="1" applyAlignment="1">
      <alignment horizontal="center" vertical="center" wrapText="1"/>
    </xf>
    <xf numFmtId="0" fontId="0" fillId="0" borderId="0" xfId="0" applyAlignment="1">
      <alignment vertical="center" wrapText="1"/>
    </xf>
    <xf numFmtId="49" fontId="0" fillId="0" borderId="0" xfId="0" applyNumberFormat="1" applyAlignment="1">
      <alignment horizontal="center" vertical="center" wrapText="1"/>
    </xf>
    <xf numFmtId="1" fontId="0" fillId="0" borderId="0" xfId="0" applyNumberFormat="1" applyAlignment="1">
      <alignment horizontal="center" vertical="center" wrapText="1"/>
    </xf>
    <xf numFmtId="9" fontId="0" fillId="0" borderId="0" xfId="2" applyFont="1" applyAlignment="1">
      <alignment vertical="center" wrapText="1"/>
    </xf>
    <xf numFmtId="0" fontId="0" fillId="0" borderId="0" xfId="0" applyAlignment="1">
      <alignment horizontal="center" vertical="center" wrapText="1"/>
    </xf>
    <xf numFmtId="9" fontId="0" fillId="0" borderId="0" xfId="2" applyFont="1" applyAlignment="1">
      <alignment horizontal="center" vertical="center" wrapText="1"/>
    </xf>
    <xf numFmtId="1" fontId="0" fillId="0" borderId="0" xfId="2" applyNumberFormat="1" applyFont="1" applyAlignment="1">
      <alignment horizontal="center" vertical="center" wrapText="1"/>
    </xf>
    <xf numFmtId="0" fontId="0" fillId="0" borderId="0" xfId="0" applyAlignment="1">
      <alignment wrapText="1"/>
    </xf>
    <xf numFmtId="0" fontId="0" fillId="0" borderId="0" xfId="0" pivotButton="1"/>
    <xf numFmtId="9" fontId="0" fillId="0" borderId="0" xfId="0" applyNumberFormat="1"/>
    <xf numFmtId="4" fontId="0" fillId="0" borderId="0" xfId="2" applyNumberFormat="1" applyFont="1" applyAlignment="1">
      <alignment vertical="center" wrapText="1"/>
    </xf>
    <xf numFmtId="49" fontId="0" fillId="0" borderId="0" xfId="0" applyNumberFormat="1" applyAlignment="1">
      <alignment horizontal="justify" vertical="center" wrapText="1"/>
    </xf>
    <xf numFmtId="49" fontId="0" fillId="0" borderId="0" xfId="0" applyNumberFormat="1" applyAlignment="1">
      <alignment horizontal="justify" vertical="top" wrapText="1"/>
    </xf>
    <xf numFmtId="49" fontId="0" fillId="0" borderId="0" xfId="0" applyNumberFormat="1" applyAlignment="1">
      <alignment horizontal="center" vertical="center" wrapText="1" readingOrder="1"/>
    </xf>
    <xf numFmtId="49" fontId="0" fillId="0" borderId="0" xfId="0" applyNumberFormat="1" applyAlignment="1">
      <alignment horizontal="justify" vertical="center"/>
    </xf>
    <xf numFmtId="0" fontId="0" fillId="0" borderId="0" xfId="0" applyNumberFormat="1" applyAlignment="1">
      <alignment horizontal="justify" vertical="center"/>
    </xf>
    <xf numFmtId="0" fontId="7" fillId="2" borderId="2" xfId="1" applyFont="1" applyBorder="1" applyAlignment="1">
      <alignment horizontal="center" vertical="center" wrapText="1"/>
    </xf>
    <xf numFmtId="0" fontId="9" fillId="5" borderId="2" xfId="5" applyFont="1" applyBorder="1" applyAlignment="1">
      <alignment horizontal="center" vertical="center" wrapText="1"/>
    </xf>
    <xf numFmtId="0" fontId="9" fillId="4" borderId="2" xfId="4" applyFont="1" applyBorder="1" applyAlignment="1">
      <alignment horizontal="center" vertical="center" wrapText="1"/>
    </xf>
    <xf numFmtId="0" fontId="9" fillId="3" borderId="2" xfId="3" applyFont="1" applyBorder="1" applyAlignment="1">
      <alignment horizontal="center" vertical="center" wrapText="1"/>
    </xf>
    <xf numFmtId="0" fontId="0" fillId="0" borderId="0" xfId="0" applyNumberFormat="1" applyAlignment="1">
      <alignment horizontal="justify" vertical="top"/>
    </xf>
    <xf numFmtId="9" fontId="10" fillId="0" borderId="0" xfId="2" applyFont="1" applyAlignment="1">
      <alignment horizontal="center" vertical="center" wrapText="1"/>
    </xf>
    <xf numFmtId="4" fontId="10" fillId="0" borderId="0" xfId="2" applyNumberFormat="1" applyFont="1" applyAlignment="1">
      <alignment vertical="center" wrapText="1"/>
    </xf>
    <xf numFmtId="9" fontId="10" fillId="0" borderId="0" xfId="2" applyFont="1" applyAlignment="1">
      <alignment vertical="center" wrapText="1"/>
    </xf>
    <xf numFmtId="0" fontId="0" fillId="0" borderId="0" xfId="0" applyAlignment="1">
      <alignment horizontal="left" indent="1"/>
    </xf>
    <xf numFmtId="164" fontId="0" fillId="0" borderId="0" xfId="0" applyNumberFormat="1" applyAlignment="1">
      <alignment horizontal="left"/>
    </xf>
    <xf numFmtId="0" fontId="0" fillId="0" borderId="0" xfId="0" applyNumberFormat="1" applyAlignment="1">
      <alignment horizontal="center" vertical="center" wrapText="1"/>
    </xf>
    <xf numFmtId="0" fontId="0" fillId="0" borderId="0" xfId="0" applyNumberFormat="1" applyAlignment="1">
      <alignment vertical="center" wrapText="1"/>
    </xf>
    <xf numFmtId="0" fontId="7" fillId="2" borderId="1" xfId="1" applyFont="1" applyFill="1" applyBorder="1" applyAlignment="1">
      <alignment horizontal="center" vertical="center" wrapText="1"/>
    </xf>
    <xf numFmtId="0" fontId="3" fillId="0" borderId="0" xfId="0" applyFont="1" applyAlignment="1">
      <alignment horizontal="center" vertical="center" wrapText="1"/>
    </xf>
  </cellXfs>
  <cellStyles count="6">
    <cellStyle name="Énfasis1" xfId="3" builtinId="29"/>
    <cellStyle name="Énfasis2" xfId="4" builtinId="33"/>
    <cellStyle name="Énfasis5" xfId="1" builtinId="45"/>
    <cellStyle name="Énfasis6" xfId="5" builtinId="49"/>
    <cellStyle name="Normal" xfId="0" builtinId="0"/>
    <cellStyle name="Porcentaje" xfId="2" builtinId="5"/>
  </cellStyles>
  <dxfs count="75">
    <dxf>
      <font>
        <b val="0"/>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numFmt numFmtId="4" formatCode="#,##0.00"/>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numFmt numFmtId="4" formatCode="#,##0.00"/>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numFmt numFmtId="4" formatCode="#,##0.00"/>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numFmt numFmtId="4" formatCode="#,##0.00"/>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numFmt numFmtId="4" formatCode="#,##0.00"/>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numFmt numFmtId="4" formatCode="#,##0.00"/>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numFmt numFmtId="4" formatCode="#,##0.00"/>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justify" vertical="center" textRotation="0" wrapText="0" indent="0" justifyLastLine="0" shrinkToFit="0" readingOrder="0"/>
    </dxf>
    <dxf>
      <numFmt numFmtId="30" formatCode="@"/>
      <alignment horizontal="center" vertical="center" textRotation="0" wrapText="1" indent="0" justifyLastLine="0" shrinkToFit="0" readingOrder="1"/>
    </dxf>
    <dxf>
      <font>
        <b val="0"/>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border outline="0">
        <top style="thin">
          <color rgb="FF000000"/>
        </top>
      </border>
    </dxf>
    <dxf>
      <alignment vertical="center" textRotation="0" wrapText="1" indent="0" justifyLastLine="0" shrinkToFit="0" readingOrder="0"/>
    </dxf>
    <dxf>
      <border outline="0">
        <bottom style="thin">
          <color rgb="FF000000"/>
        </bottom>
      </border>
    </dxf>
    <dxf>
      <font>
        <strike val="0"/>
        <outline val="0"/>
        <shadow val="0"/>
        <u val="none"/>
        <vertAlign val="baseline"/>
        <sz val="9"/>
        <color theme="0"/>
        <name val="Arial Narrow"/>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border>
        <left style="thin">
          <color theme="0" tint="-0.14996795556505021"/>
        </left>
        <right style="thin">
          <color theme="0" tint="-0.14996795556505021"/>
        </right>
        <top style="thin">
          <color theme="0" tint="-0.14996795556505021"/>
        </top>
        <bottom style="thin">
          <color theme="0" tint="-0.14996795556505021"/>
        </bottom>
        <vertical/>
        <horizontal/>
      </border>
    </dxf>
    <dxf>
      <fill>
        <patternFill patternType="gray0625"/>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color theme="1"/>
      </font>
      <fill>
        <patternFill>
          <bgColor theme="4"/>
        </patternFill>
      </fill>
    </dxf>
    <dxf>
      <font>
        <b/>
        <i val="0"/>
        <color theme="1"/>
      </font>
      <fill>
        <patternFill>
          <bgColor theme="9" tint="0.39994506668294322"/>
        </patternFill>
      </fill>
    </dxf>
    <dxf>
      <font>
        <b/>
        <i val="0"/>
        <color theme="1"/>
      </font>
      <fill>
        <patternFill>
          <bgColor theme="7" tint="0.39994506668294322"/>
        </patternFill>
      </fill>
    </dxf>
    <dxf>
      <font>
        <b/>
        <i val="0"/>
        <color theme="1"/>
      </font>
      <fill>
        <patternFill>
          <bgColor rgb="FFFF0000"/>
        </patternFill>
      </fill>
    </dxf>
    <dxf>
      <numFmt numFmtId="13" formatCode="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numFmt numFmtId="30" formatCode="@"/>
      <alignment horizontal="justify" vertical="top" textRotation="0" wrapText="1" indent="0" justifyLastLine="0" shrinkToFit="0" readingOrder="0"/>
    </dxf>
    <dxf>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numFmt numFmtId="0" formatCode="General"/>
      <alignment vertical="center" textRotation="0" wrapText="1" indent="0" justifyLastLine="0" shrinkToFit="0" readingOrder="0"/>
    </dxf>
    <dxf>
      <border outline="0">
        <top style="thin">
          <color rgb="FF000000"/>
        </top>
      </border>
    </dxf>
    <dxf>
      <alignment vertical="center" textRotation="0" wrapText="1" indent="0" justifyLastLine="0" shrinkToFit="0" readingOrder="0"/>
    </dxf>
    <dxf>
      <border outline="0">
        <bottom style="thin">
          <color rgb="FF000000"/>
        </bottom>
      </border>
    </dxf>
    <dxf>
      <font>
        <strike val="0"/>
        <outline val="0"/>
        <shadow val="0"/>
        <u val="none"/>
        <vertAlign val="baseline"/>
        <sz val="9"/>
        <color theme="0"/>
        <name val="Arial Narrow"/>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border>
        <left style="thin">
          <color theme="0" tint="-0.14996795556505021"/>
        </left>
        <right style="thin">
          <color theme="0" tint="-0.14996795556505021"/>
        </right>
        <top style="thin">
          <color theme="0" tint="-0.14996795556505021"/>
        </top>
        <bottom style="thin">
          <color theme="0" tint="-0.14996795556505021"/>
        </bottom>
        <vertical/>
        <horizontal/>
      </border>
    </dxf>
    <dxf>
      <font>
        <b/>
        <i val="0"/>
        <color theme="1"/>
      </font>
      <fill>
        <patternFill>
          <bgColor theme="4"/>
        </patternFill>
      </fill>
    </dxf>
    <dxf>
      <font>
        <b/>
        <i val="0"/>
        <color theme="1"/>
      </font>
      <fill>
        <patternFill>
          <bgColor theme="9" tint="0.39994506668294322"/>
        </patternFill>
      </fill>
    </dxf>
    <dxf>
      <font>
        <b/>
        <i val="0"/>
        <color theme="1"/>
      </font>
      <fill>
        <patternFill>
          <bgColor theme="7" tint="0.39994506668294322"/>
        </patternFill>
      </fill>
    </dxf>
    <dxf>
      <font>
        <b/>
        <i val="0"/>
        <color theme="1"/>
      </font>
      <fill>
        <patternFill>
          <bgColor rgb="FFFF0000"/>
        </patternFill>
      </fill>
    </dxf>
    <dxf>
      <font>
        <b/>
        <i val="0"/>
      </font>
      <fill>
        <patternFill>
          <bgColor theme="0" tint="-0.14996795556505021"/>
        </patternFill>
      </fill>
    </dxf>
    <dxf>
      <font>
        <b/>
        <i val="0"/>
      </font>
      <fill>
        <patternFill>
          <bgColor theme="0" tint="-0.14996795556505021"/>
        </patternFill>
      </fill>
    </dxf>
    <dxf>
      <numFmt numFmtId="30" formatCode="@"/>
      <alignment horizontal="justify" vertical="top" textRotation="0" wrapText="1" indent="0" justifyLastLine="0" shrinkToFit="0" readingOrder="0"/>
    </dxf>
    <dxf>
      <numFmt numFmtId="30" formatCode="@"/>
      <alignment horizontal="justify" vertical="top" textRotation="0" wrapText="1"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numFmt numFmtId="1" formatCode="0"/>
      <alignment horizontal="center" vertical="center" textRotation="0" wrapText="1" indent="0" justifyLastLine="0" shrinkToFit="0" readingOrder="0"/>
    </dxf>
    <dxf>
      <numFmt numFmtId="30" formatCode="@"/>
      <alignment horizontal="justify"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justify" vertical="center" textRotation="0" wrapText="1" indent="0" justifyLastLine="0" shrinkToFit="0" readingOrder="0"/>
    </dxf>
    <dxf>
      <numFmt numFmtId="30" formatCode="@"/>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vertical="center" textRotation="0" wrapText="1" indent="0" justifyLastLine="0" shrinkToFit="0" readingOrder="0"/>
    </dxf>
    <dxf>
      <border outline="0">
        <top style="thin">
          <color rgb="FF000000"/>
        </top>
      </border>
    </dxf>
    <dxf>
      <alignment vertical="center" textRotation="0" wrapText="1" indent="0" justifyLastLine="0" shrinkToFit="0" readingOrder="0"/>
    </dxf>
    <dxf>
      <border outline="0">
        <bottom style="thin">
          <color rgb="FF000000"/>
        </bottom>
      </border>
    </dxf>
    <dxf>
      <font>
        <strike val="0"/>
        <outline val="0"/>
        <shadow val="0"/>
        <u val="none"/>
        <vertAlign val="baseline"/>
        <sz val="9"/>
        <color theme="0"/>
        <name val="Arial Narrow"/>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border>
        <left style="thin">
          <color theme="4" tint="0.39994506668294322"/>
        </left>
        <right style="thin">
          <color theme="4" tint="0.39994506668294322"/>
        </right>
        <top style="thin">
          <color theme="4" tint="0.39994506668294322"/>
        </top>
        <bottom style="thin">
          <color theme="4" tint="0.39994506668294322"/>
        </bottom>
        <vertical/>
        <horizontal/>
      </border>
    </dxf>
    <dxf>
      <numFmt numFmtId="164" formatCode="&quot;&quot;"/>
    </dxf>
    <dxf>
      <font>
        <b/>
        <i val="0"/>
      </font>
      <fill>
        <patternFill>
          <bgColor theme="0" tint="-0.14996795556505021"/>
        </patternFill>
      </fill>
    </dxf>
    <dxf>
      <font>
        <b/>
        <i val="0"/>
      </font>
      <fill>
        <patternFill>
          <bgColor theme="0" tint="-0.14996795556505021"/>
        </patternFill>
      </fill>
    </dxf>
    <dxf>
      <font>
        <b/>
        <i val="0"/>
        <color theme="1"/>
      </font>
      <fill>
        <patternFill>
          <bgColor theme="4"/>
        </patternFill>
      </fill>
    </dxf>
    <dxf>
      <font>
        <b/>
        <i val="0"/>
        <color theme="1"/>
      </font>
      <fill>
        <patternFill>
          <bgColor theme="9" tint="0.39994506668294322"/>
        </patternFill>
      </fill>
    </dxf>
    <dxf>
      <font>
        <b/>
        <i val="0"/>
        <color theme="1"/>
      </font>
      <fill>
        <patternFill>
          <bgColor theme="7" tint="0.39994506668294322"/>
        </patternFill>
      </fill>
    </dxf>
    <dxf>
      <font>
        <b/>
        <i val="0"/>
        <color theme="1"/>
      </font>
      <fill>
        <patternFill>
          <bgColor rgb="FFFF0000"/>
        </patternFill>
      </fill>
    </dxf>
  </dxfs>
  <tableStyles count="1" defaultTableStyle="TableStyleMedium2" defaultPivotStyle="PivotStyleLight16">
    <tableStyle name="Estilo de tabla 1" pivot="0" count="0"/>
  </tableStyles>
  <colors>
    <mruColors>
      <color rgb="FFCCECFF"/>
      <color rgb="FFCC3300"/>
      <color rgb="FFFF6600"/>
      <color rgb="FFFF3300"/>
      <color rgb="FF99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[reporte_evaluacion_acp_plantilla_01.xlsx]GRAF-ACP!TablaDinámica5</c:name>
    <c:fmtId val="5"/>
  </c:pivotSource>
  <c:chart>
    <c:autoTitleDeleted val="0"/>
    <c:pivotFmts>
      <c:pivotFmt>
        <c:idx val="0"/>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MX"/>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MX"/>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lumMod val="60000"/>
              <a:lumOff val="4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MX"/>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lumMod val="75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MX"/>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0000"/>
          </a:solidFill>
          <a:ln>
            <a:noFill/>
          </a:ln>
          <a:effectLst/>
        </c:spPr>
      </c:pivotFmt>
      <c:pivotFmt>
        <c:idx val="5"/>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MX"/>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MX"/>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0000"/>
          </a:solidFill>
          <a:ln>
            <a:noFill/>
          </a:ln>
          <a:effectLst/>
        </c:spPr>
      </c:pivotFmt>
      <c:pivotFmt>
        <c:idx val="8"/>
        <c:spPr>
          <a:solidFill>
            <a:schemeClr val="accent4">
              <a:lumMod val="60000"/>
              <a:lumOff val="4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MX"/>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lumMod val="75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MX"/>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lumMod val="75000"/>
            </a:schemeClr>
          </a:solidFill>
          <a:ln>
            <a:noFill/>
          </a:ln>
          <a:effectLst/>
        </c:spPr>
      </c:pivotFmt>
      <c:pivotFmt>
        <c:idx val="15"/>
        <c:spPr>
          <a:solidFill>
            <a:schemeClr val="accent6">
              <a:lumMod val="75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MX"/>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FF00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MX"/>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4">
              <a:lumMod val="40000"/>
              <a:lumOff val="6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MX"/>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MX"/>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4">
              <a:lumMod val="40000"/>
              <a:lumOff val="60000"/>
            </a:schemeClr>
          </a:solidFill>
          <a:ln>
            <a:noFill/>
          </a:ln>
          <a:effectLst/>
        </c:spPr>
      </c:pivotFmt>
      <c:pivotFmt>
        <c:idx val="20"/>
        <c:spPr>
          <a:solidFill>
            <a:schemeClr val="accent1">
              <a:lumMod val="75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6">
              <a:lumMod val="75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FF00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4">
              <a:lumMod val="40000"/>
              <a:lumOff val="6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lumMod val="75000"/>
            </a:schemeClr>
          </a:solidFill>
          <a:ln>
            <a:noFill/>
          </a:ln>
          <a:effectLst/>
        </c:spPr>
      </c:pivotFmt>
      <c:pivotFmt>
        <c:idx val="25"/>
        <c:spPr>
          <a:solidFill>
            <a:schemeClr val="accent4">
              <a:lumMod val="40000"/>
              <a:lumOff val="60000"/>
            </a:schemeClr>
          </a:solidFill>
          <a:ln>
            <a:noFill/>
          </a:ln>
          <a:effectLst/>
        </c:spPr>
      </c:pivotFmt>
      <c:pivotFmt>
        <c:idx val="26"/>
        <c:spPr>
          <a:solidFill>
            <a:schemeClr val="accent1"/>
          </a:solidFill>
          <a:ln>
            <a:noFill/>
          </a:ln>
          <a:effectLst/>
        </c:spPr>
        <c:marker>
          <c:symbol val="none"/>
        </c:marker>
      </c:pivotFmt>
      <c:pivotFmt>
        <c:idx val="2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9"/>
        <c:dLbl>
          <c:idx val="0"/>
          <c:spPr>
            <a:noFill/>
            <a:ln>
              <a:noFill/>
            </a:ln>
            <a:effectLst/>
          </c:spPr>
          <c:txPr>
            <a:bodyPr rot="0" spcFirstLastPara="1" vertOverflow="clip" horzOverflow="clip" vert="horz" wrap="square" lIns="38100" tIns="19050" rIns="38100" bIns="57600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0"/>
      </c:pivotFmt>
      <c:pivotFmt>
        <c:idx val="31"/>
        <c:spPr>
          <a:solidFill>
            <a:schemeClr val="accent4">
              <a:lumMod val="40000"/>
              <a:lumOff val="60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MX"/>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4">
              <a:lumMod val="40000"/>
              <a:lumOff val="6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MX"/>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lumMod val="75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lumMod val="75000"/>
            </a:schemeClr>
          </a:solidFill>
          <a:ln>
            <a:noFill/>
          </a:ln>
          <a:effectLst/>
        </c:spPr>
      </c:pivotFmt>
      <c:pivotFmt>
        <c:idx val="35"/>
        <c:spPr>
          <a:solidFill>
            <a:schemeClr val="accent6">
              <a:lumMod val="75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rgbClr val="FF00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MX"/>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4">
              <a:lumMod val="60000"/>
              <a:lumOff val="40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lumMod val="60000"/>
              <a:lumOff val="40000"/>
            </a:schemeClr>
          </a:solidFill>
          <a:ln>
            <a:noFill/>
          </a:ln>
          <a:effectLst/>
        </c:spPr>
      </c:pivotFmt>
      <c:pivotFmt>
        <c:idx val="39"/>
        <c:spPr>
          <a:solidFill>
            <a:schemeClr val="accent1">
              <a:lumMod val="75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lumMod val="75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FF000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lumMod val="75000"/>
            </a:schemeClr>
          </a:solidFill>
          <a:ln>
            <a:noFill/>
          </a:ln>
          <a:effectLst/>
        </c:spPr>
      </c:pivotFmt>
      <c:pivotFmt>
        <c:idx val="43"/>
        <c:spPr>
          <a:solidFill>
            <a:schemeClr val="accent1"/>
          </a:solidFill>
          <a:ln>
            <a:noFill/>
          </a:ln>
          <a:effectLst/>
        </c:spPr>
        <c:marker>
          <c:symbol val="none"/>
        </c:marker>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lumMod val="75000"/>
            </a:schemeClr>
          </a:solidFill>
          <a:ln>
            <a:noFill/>
          </a:ln>
          <a:effectLst/>
        </c:spPr>
      </c:pivotFmt>
      <c:pivotFmt>
        <c:idx val="49"/>
        <c:spPr>
          <a:solidFill>
            <a:srgbClr val="FF000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lumMod val="75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lumMod val="60000"/>
              <a:lumOff val="40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75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'GRAF-ACP'!$H$13:$H$14</c:f>
              <c:strCache>
                <c:ptCount val="1"/>
                <c:pt idx="0">
                  <c:v>SATISFACTORIO</c:v>
                </c:pt>
              </c:strCache>
            </c:strRef>
          </c:tx>
          <c:spPr>
            <a:solidFill>
              <a:schemeClr val="accent1">
                <a:lumMod val="75000"/>
              </a:schemeClr>
            </a:solidFill>
            <a:ln>
              <a:noFill/>
            </a:ln>
            <a:effectLst/>
          </c:spPr>
          <c:invertIfNegative val="0"/>
          <c:dPt>
            <c:idx val="0"/>
            <c:invertIfNegative val="0"/>
            <c:bubble3D val="0"/>
            <c:extLst>
              <c:ext xmlns:c16="http://schemas.microsoft.com/office/drawing/2014/chart" uri="{C3380CC4-5D6E-409C-BE32-E72D297353CC}">
                <c16:uniqueId val="{00000004-4F0D-4178-B558-2F56AE5B2029}"/>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'GRAF-ACP'!$G$15:$G$22</c:f>
              <c:strCache>
                <c:ptCount val="4"/>
                <c:pt idx="0">
                  <c:v>1</c:v>
                </c:pt>
                <c:pt idx="1">
                  <c:v>2</c:v>
                </c:pt>
                <c:pt idx="2">
                  <c:v>3</c:v>
                </c:pt>
                <c:pt idx="3">
                  <c:v>4</c:v>
                </c:pt>
              </c:strCache>
            </c:strRef>
          </c:cat>
          <c:val>
            <c:numRef>
              <c:f>'GRAF-ACP'!$H$15:$H$22</c:f>
              <c:numCache>
                <c:formatCode>0%</c:formatCode>
                <c:ptCount val="4"/>
                <c:pt idx="0">
                  <c:v>0.01</c:v>
                </c:pt>
              </c:numCache>
            </c:numRef>
          </c:val>
          <c:extLst>
            <c:ext xmlns:c16="http://schemas.microsoft.com/office/drawing/2014/chart" uri="{C3380CC4-5D6E-409C-BE32-E72D297353CC}">
              <c16:uniqueId val="{00000000-4F0D-4178-B558-2F56AE5B2029}"/>
            </c:ext>
          </c:extLst>
        </c:ser>
        <c:ser>
          <c:idx val="1"/>
          <c:order val="1"/>
          <c:tx>
            <c:strRef>
              <c:f>'GRAF-ACP'!$I$13:$I$14</c:f>
              <c:strCache>
                <c:ptCount val="1"/>
                <c:pt idx="0">
                  <c:v>ACEPTABLE</c:v>
                </c:pt>
              </c:strCache>
            </c:strRef>
          </c:tx>
          <c:spPr>
            <a:solidFill>
              <a:schemeClr val="accent6">
                <a:lumMod val="75000"/>
              </a:schemeClr>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'GRAF-ACP'!$G$15:$G$22</c:f>
              <c:strCache>
                <c:ptCount val="4"/>
                <c:pt idx="0">
                  <c:v>1</c:v>
                </c:pt>
                <c:pt idx="1">
                  <c:v>2</c:v>
                </c:pt>
                <c:pt idx="2">
                  <c:v>3</c:v>
                </c:pt>
                <c:pt idx="3">
                  <c:v>4</c:v>
                </c:pt>
              </c:strCache>
            </c:strRef>
          </c:cat>
          <c:val>
            <c:numRef>
              <c:f>'GRAF-ACP'!$I$15:$I$22</c:f>
              <c:numCache>
                <c:formatCode>0%</c:formatCode>
                <c:ptCount val="4"/>
                <c:pt idx="1">
                  <c:v>0.02</c:v>
                </c:pt>
              </c:numCache>
            </c:numRef>
          </c:val>
          <c:extLst>
            <c:ext xmlns:c16="http://schemas.microsoft.com/office/drawing/2014/chart" uri="{C3380CC4-5D6E-409C-BE32-E72D297353CC}">
              <c16:uniqueId val="{00000005-D21F-4E28-86A0-7845F6218DC0}"/>
            </c:ext>
          </c:extLst>
        </c:ser>
        <c:ser>
          <c:idx val="2"/>
          <c:order val="2"/>
          <c:tx>
            <c:strRef>
              <c:f>'GRAF-ACP'!$J$13:$J$14</c:f>
              <c:strCache>
                <c:ptCount val="1"/>
                <c:pt idx="0">
                  <c:v>REZAGADO</c:v>
                </c:pt>
              </c:strCache>
            </c:strRef>
          </c:tx>
          <c:spPr>
            <a:solidFill>
              <a:schemeClr val="accent4">
                <a:lumMod val="60000"/>
                <a:lumOff val="40000"/>
              </a:schemeClr>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'GRAF-ACP'!$G$15:$G$22</c:f>
              <c:strCache>
                <c:ptCount val="4"/>
                <c:pt idx="0">
                  <c:v>1</c:v>
                </c:pt>
                <c:pt idx="1">
                  <c:v>2</c:v>
                </c:pt>
                <c:pt idx="2">
                  <c:v>3</c:v>
                </c:pt>
                <c:pt idx="3">
                  <c:v>4</c:v>
                </c:pt>
              </c:strCache>
            </c:strRef>
          </c:cat>
          <c:val>
            <c:numRef>
              <c:f>'GRAF-ACP'!$J$15:$J$22</c:f>
              <c:numCache>
                <c:formatCode>0%</c:formatCode>
                <c:ptCount val="4"/>
                <c:pt idx="2">
                  <c:v>0.03</c:v>
                </c:pt>
              </c:numCache>
            </c:numRef>
          </c:val>
          <c:extLst>
            <c:ext xmlns:c16="http://schemas.microsoft.com/office/drawing/2014/chart" uri="{C3380CC4-5D6E-409C-BE32-E72D297353CC}">
              <c16:uniqueId val="{00000006-D21F-4E28-86A0-7845F6218DC0}"/>
            </c:ext>
          </c:extLst>
        </c:ser>
        <c:ser>
          <c:idx val="3"/>
          <c:order val="3"/>
          <c:tx>
            <c:strRef>
              <c:f>'GRAF-ACP'!$K$13:$K$14</c:f>
              <c:strCache>
                <c:ptCount val="1"/>
                <c:pt idx="0">
                  <c:v>INCUMPLIDO</c:v>
                </c:pt>
              </c:strCache>
            </c:strRef>
          </c:tx>
          <c:spPr>
            <a:solidFill>
              <a:srgbClr val="FF0000"/>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'GRAF-ACP'!$G$15:$G$22</c:f>
              <c:strCache>
                <c:ptCount val="4"/>
                <c:pt idx="0">
                  <c:v>1</c:v>
                </c:pt>
                <c:pt idx="1">
                  <c:v>2</c:v>
                </c:pt>
                <c:pt idx="2">
                  <c:v>3</c:v>
                </c:pt>
                <c:pt idx="3">
                  <c:v>4</c:v>
                </c:pt>
              </c:strCache>
            </c:strRef>
          </c:cat>
          <c:val>
            <c:numRef>
              <c:f>'GRAF-ACP'!$K$15:$K$22</c:f>
              <c:numCache>
                <c:formatCode>0%</c:formatCode>
                <c:ptCount val="4"/>
                <c:pt idx="3">
                  <c:v>0.04</c:v>
                </c:pt>
              </c:numCache>
            </c:numRef>
          </c:val>
          <c:extLst>
            <c:ext xmlns:c16="http://schemas.microsoft.com/office/drawing/2014/chart" uri="{C3380CC4-5D6E-409C-BE32-E72D297353CC}">
              <c16:uniqueId val="{00000007-D21F-4E28-86A0-7845F6218DC0}"/>
            </c:ext>
          </c:extLst>
        </c:ser>
        <c:dLbls>
          <c:dLblPos val="inEnd"/>
          <c:showLegendKey val="0"/>
          <c:showVal val="1"/>
          <c:showCatName val="0"/>
          <c:showSerName val="0"/>
          <c:showPercent val="0"/>
          <c:showBubbleSize val="0"/>
        </c:dLbls>
        <c:gapWidth val="150"/>
        <c:overlap val="100"/>
        <c:axId val="1452473840"/>
        <c:axId val="1452489232"/>
      </c:barChart>
      <c:catAx>
        <c:axId val="1452473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ACCIONES DE CORTO PLAZO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52489232"/>
        <c:crosses val="autoZero"/>
        <c:auto val="1"/>
        <c:lblAlgn val="ctr"/>
        <c:lblOffset val="100"/>
        <c:noMultiLvlLbl val="0"/>
      </c:catAx>
      <c:valAx>
        <c:axId val="1452489232"/>
        <c:scaling>
          <c:orientation val="minMax"/>
          <c:max val="1"/>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Indice</a:t>
                </a:r>
                <a:r>
                  <a:rPr lang="es-MX" baseline="0"/>
                  <a:t> de Eficacia Promedio Ponderada</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52473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107156</xdr:colOff>
      <xdr:row>1</xdr:row>
      <xdr:rowOff>23815</xdr:rowOff>
    </xdr:from>
    <xdr:to>
      <xdr:col>3</xdr:col>
      <xdr:colOff>1147828</xdr:colOff>
      <xdr:row>1</xdr:row>
      <xdr:rowOff>762001</xdr:rowOff>
    </xdr:to>
    <xdr:pic>
      <xdr:nvPicPr>
        <xdr:cNvPr id="3" name="Imagen 2" descr="C:\TRABAJO\PROYECTOS\POA\SRC\nova\src\backend\src\main\resources\reportes\imagenes\ypfb-logo.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156" y="214315"/>
          <a:ext cx="1040672" cy="738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452438</xdr:colOff>
      <xdr:row>1</xdr:row>
      <xdr:rowOff>47626</xdr:rowOff>
    </xdr:from>
    <xdr:to>
      <xdr:col>4</xdr:col>
      <xdr:colOff>1476327</xdr:colOff>
      <xdr:row>1</xdr:row>
      <xdr:rowOff>773907</xdr:rowOff>
    </xdr:to>
    <xdr:pic>
      <xdr:nvPicPr>
        <xdr:cNvPr id="3" name="Imagen 2" descr="C:\TRABAJO\PROYECTOS\POA\SRC\nova\src\backend\src\main\resources\reportes\imagenes\ypfb-logo.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2438" y="238126"/>
          <a:ext cx="1023889" cy="7262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65481</xdr:colOff>
      <xdr:row>2</xdr:row>
      <xdr:rowOff>51196</xdr:rowOff>
    </xdr:from>
    <xdr:to>
      <xdr:col>13</xdr:col>
      <xdr:colOff>1202532</xdr:colOff>
      <xdr:row>44</xdr:row>
      <xdr:rowOff>23813</xdr:rowOff>
    </xdr:to>
    <xdr:graphicFrame macro="">
      <xdr:nvGraphicFramePr>
        <xdr:cNvPr id="3" name="Gráfico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226219</xdr:colOff>
      <xdr:row>1</xdr:row>
      <xdr:rowOff>226219</xdr:rowOff>
    </xdr:from>
    <xdr:to>
      <xdr:col>4</xdr:col>
      <xdr:colOff>1238250</xdr:colOff>
      <xdr:row>1</xdr:row>
      <xdr:rowOff>944089</xdr:rowOff>
    </xdr:to>
    <xdr:pic>
      <xdr:nvPicPr>
        <xdr:cNvPr id="4" name="Imagen 3" descr="C:\TRABAJO\PROYECTOS\POA\SRC\nova\src\backend\src\main\resources\reportes\imagenes\ypfb-logo.jp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6219" y="416719"/>
          <a:ext cx="1012031" cy="717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178595</xdr:colOff>
      <xdr:row>1</xdr:row>
      <xdr:rowOff>83343</xdr:rowOff>
    </xdr:from>
    <xdr:to>
      <xdr:col>5</xdr:col>
      <xdr:colOff>23814</xdr:colOff>
      <xdr:row>1</xdr:row>
      <xdr:rowOff>826550</xdr:rowOff>
    </xdr:to>
    <xdr:pic>
      <xdr:nvPicPr>
        <xdr:cNvPr id="3" name="Imagen 2" descr="C:\TRABAJO\PROYECTOS\POA\SRC\nova\src\backend\src\main\resources\reportes\imagenes\ypfb-logo.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595" y="273843"/>
          <a:ext cx="1047750" cy="7432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Roger Diego Flores Condori" refreshedDate="45432.547651273147" createdVersion="6" refreshedVersion="6" minRefreshableVersion="3" recordCount="17">
  <cacheSource type="worksheet">
    <worksheetSource name="Tabla2435"/>
  </cacheSource>
  <cacheFields count="12">
    <cacheField name="sec" numFmtId="0">
      <sharedItems containsSemiMixedTypes="0" containsString="0" containsNumber="1" containsInteger="1" minValue="14" maxValue="30" count="17">
        <n v="14"/>
        <n v="15"/>
        <n v="16"/>
        <n v="17"/>
        <n v="18"/>
        <n v="19"/>
        <n v="20"/>
        <n v="21"/>
        <n v="22"/>
        <n v="23"/>
        <n v="24"/>
        <n v="25"/>
        <n v="26"/>
        <n v="27"/>
        <n v="28"/>
        <n v="29"/>
        <n v="30"/>
      </sharedItems>
    </cacheField>
    <cacheField name="TIPO" numFmtId="0">
      <sharedItems containsNonDate="0" containsString="0" containsBlank="1"/>
    </cacheField>
    <cacheField name="CÓDIGO ACP" numFmtId="0">
      <sharedItems containsBlank="1" count="16">
        <s v="1"/>
        <s v="2"/>
        <s v="3"/>
        <s v="4"/>
        <s v="5"/>
        <s v="6"/>
        <s v="7"/>
        <s v="8"/>
        <s v="9"/>
        <s v="EFICACIA GENERAL PROMEDIO POR ACCIONES DE CORTO PLAZO"/>
        <m/>
        <s v="22" u="1"/>
        <s v="24" u="1"/>
        <s v="21" u="1"/>
        <s v="EFICACIA GENERAL PROMEDIO OBJETIVOS DE GESTIÓN" u="1"/>
        <s v="23" u="1"/>
      </sharedItems>
    </cacheField>
    <cacheField name="ACCIONES DE CORTO PLAZO" numFmtId="49">
      <sharedItems containsBlank="1"/>
    </cacheField>
    <cacheField name="% EFICACIA PROMEDIO _x000a_PONDERADA" numFmtId="9">
      <sharedItems containsString="0" containsBlank="1" containsNumber="1" minValue="0.01" maxValue="0.04"/>
    </cacheField>
    <cacheField name="EVALUACIÓN DE EFICACIA PROMEDIO PONDERADA" numFmtId="9">
      <sharedItems containsBlank="1" count="5">
        <s v="SATISFACTORIO"/>
        <s v="ACEPTABLE"/>
        <s v="REZAGADO"/>
        <s v="INCUMPLIDO"/>
        <m/>
      </sharedItems>
    </cacheField>
    <cacheField name="PONDERACIÓN POR ACP" numFmtId="9">
      <sharedItems containsNonDate="0" containsString="0" containsBlank="1"/>
    </cacheField>
    <cacheField name="EFICACIA EN BASE A  PONDERACIÓN POR ACP" numFmtId="9">
      <sharedItems containsNonDate="0" containsString="0" containsBlank="1"/>
    </cacheField>
    <cacheField name="EVALUACIÓN EFICACIA EN BASE A  PONDERACIÓN POR ACP" numFmtId="9">
      <sharedItems containsNonDate="0" containsString="0" containsBlank="1"/>
    </cacheField>
    <cacheField name="SIGLAS DE UNIDADES ORGANIZACIONALES" numFmtId="1">
      <sharedItems containsNonDate="0" containsString="0" containsBlank="1"/>
    </cacheField>
    <cacheField name="OPERACIONES POR ACP" numFmtId="1">
      <sharedItems containsNonDate="0" containsString="0" containsBlank="1"/>
    </cacheField>
    <cacheField name="% DE OPERACIONES POR ACP" numFmtId="9">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7">
  <r>
    <x v="0"/>
    <m/>
    <x v="0"/>
    <s v="Consolidar las exportaciones de gas natural y productos industrializados, a fin de optimizar los retornos de las actividades hidrocarburíferas de YPFB."/>
    <n v="0.01"/>
    <x v="0"/>
    <m/>
    <m/>
    <m/>
    <m/>
    <m/>
    <m/>
  </r>
  <r>
    <x v="1"/>
    <m/>
    <x v="1"/>
    <s v="Consolidar las exportaciones de gas natural y productos industrializados, a fin de optimizar los retornos de las actividades hidrocarburíferas de YPFB."/>
    <n v="0.02"/>
    <x v="1"/>
    <m/>
    <m/>
    <m/>
    <m/>
    <m/>
    <m/>
  </r>
  <r>
    <x v="2"/>
    <m/>
    <x v="2"/>
    <s v="Consolidar las exportaciones de gas natural y productos industrializados, a fin de optimizar los retornos de las actividades hidrocarburíferas de YPFB."/>
    <n v="0.03"/>
    <x v="2"/>
    <m/>
    <m/>
    <m/>
    <m/>
    <m/>
    <m/>
  </r>
  <r>
    <x v="3"/>
    <m/>
    <x v="3"/>
    <s v="Consolidar las exportaciones de gas natural y productos industrializados, a fin de optimizar los retornos de las actividades hidrocarburíferas de YPFB."/>
    <n v="0.04"/>
    <x v="3"/>
    <m/>
    <m/>
    <m/>
    <m/>
    <m/>
    <m/>
  </r>
  <r>
    <x v="4"/>
    <m/>
    <x v="4"/>
    <m/>
    <m/>
    <x v="4"/>
    <m/>
    <m/>
    <m/>
    <m/>
    <m/>
    <m/>
  </r>
  <r>
    <x v="5"/>
    <m/>
    <x v="5"/>
    <m/>
    <m/>
    <x v="4"/>
    <m/>
    <m/>
    <m/>
    <m/>
    <m/>
    <m/>
  </r>
  <r>
    <x v="6"/>
    <m/>
    <x v="6"/>
    <m/>
    <m/>
    <x v="4"/>
    <m/>
    <m/>
    <m/>
    <m/>
    <m/>
    <m/>
  </r>
  <r>
    <x v="7"/>
    <m/>
    <x v="7"/>
    <m/>
    <m/>
    <x v="4"/>
    <m/>
    <m/>
    <m/>
    <m/>
    <m/>
    <m/>
  </r>
  <r>
    <x v="8"/>
    <m/>
    <x v="8"/>
    <m/>
    <m/>
    <x v="4"/>
    <m/>
    <m/>
    <m/>
    <m/>
    <m/>
    <m/>
  </r>
  <r>
    <x v="9"/>
    <m/>
    <x v="9"/>
    <m/>
    <m/>
    <x v="4"/>
    <m/>
    <m/>
    <m/>
    <m/>
    <m/>
    <m/>
  </r>
  <r>
    <x v="10"/>
    <m/>
    <x v="10"/>
    <m/>
    <m/>
    <x v="4"/>
    <m/>
    <m/>
    <m/>
    <m/>
    <m/>
    <m/>
  </r>
  <r>
    <x v="11"/>
    <m/>
    <x v="10"/>
    <m/>
    <m/>
    <x v="4"/>
    <m/>
    <m/>
    <m/>
    <m/>
    <m/>
    <m/>
  </r>
  <r>
    <x v="12"/>
    <m/>
    <x v="10"/>
    <m/>
    <m/>
    <x v="4"/>
    <m/>
    <m/>
    <m/>
    <m/>
    <m/>
    <m/>
  </r>
  <r>
    <x v="13"/>
    <m/>
    <x v="10"/>
    <m/>
    <m/>
    <x v="4"/>
    <m/>
    <m/>
    <m/>
    <m/>
    <m/>
    <m/>
  </r>
  <r>
    <x v="14"/>
    <m/>
    <x v="10"/>
    <m/>
    <m/>
    <x v="4"/>
    <m/>
    <m/>
    <m/>
    <m/>
    <m/>
    <m/>
  </r>
  <r>
    <x v="15"/>
    <m/>
    <x v="10"/>
    <m/>
    <m/>
    <x v="4"/>
    <m/>
    <m/>
    <m/>
    <m/>
    <m/>
    <m/>
  </r>
  <r>
    <x v="16"/>
    <m/>
    <x v="10"/>
    <m/>
    <m/>
    <x v="4"/>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Dinámica5" cacheId="272" applyNumberFormats="0" applyBorderFormats="0" applyFontFormats="0" applyPatternFormats="0" applyAlignmentFormats="0" applyWidthHeightFormats="1" dataCaption="Valores" updatedVersion="6" minRefreshableVersion="3" useAutoFormatting="1" rowGrandTotals="0" colGrandTotals="0" itemPrintTitles="1" createdVersion="6" indent="0" outline="1" outlineData="1" multipleFieldFilters="0" chartFormat="6">
  <location ref="G13:K22" firstHeaderRow="1" firstDataRow="2" firstDataCol="1"/>
  <pivotFields count="12">
    <pivotField axis="axisRow" numFmtId="164" showAll="0" sortType="ascending" defaultSubtotal="0">
      <items count="17">
        <item x="0"/>
        <item x="1"/>
        <item x="2"/>
        <item x="3"/>
        <item x="4"/>
        <item x="5"/>
        <item x="6"/>
        <item x="7"/>
        <item x="8"/>
        <item x="9"/>
        <item x="10"/>
        <item x="11"/>
        <item x="12"/>
        <item x="13"/>
        <item x="14"/>
        <item x="15"/>
        <item x="16"/>
      </items>
    </pivotField>
    <pivotField showAll="0"/>
    <pivotField axis="axisRow" showAll="0" defaultSubtotal="0">
      <items count="16">
        <item m="1" x="13"/>
        <item m="1" x="11"/>
        <item m="1" x="15"/>
        <item m="1" x="12"/>
        <item m="1" x="14"/>
        <item x="10"/>
        <item x="0"/>
        <item x="1"/>
        <item x="2"/>
        <item x="3"/>
        <item x="4"/>
        <item x="5"/>
        <item x="6"/>
        <item x="7"/>
        <item x="8"/>
        <item x="9"/>
      </items>
    </pivotField>
    <pivotField showAll="0"/>
    <pivotField dataField="1" showAll="0"/>
    <pivotField axis="axisCol" showAll="0" defaultSubtotal="0">
      <items count="5">
        <item x="0"/>
        <item x="1"/>
        <item x="2"/>
        <item x="4"/>
        <item x="3"/>
      </items>
    </pivotField>
    <pivotField showAll="0"/>
    <pivotField showAll="0"/>
    <pivotField showAll="0" defaultSubtotal="0"/>
    <pivotField showAll="0"/>
    <pivotField showAll="0"/>
    <pivotField showAll="0"/>
  </pivotFields>
  <rowFields count="2">
    <field x="0"/>
    <field x="2"/>
  </rowFields>
  <rowItems count="8">
    <i>
      <x/>
    </i>
    <i r="1">
      <x v="6"/>
    </i>
    <i>
      <x v="1"/>
    </i>
    <i r="1">
      <x v="7"/>
    </i>
    <i>
      <x v="2"/>
    </i>
    <i r="1">
      <x v="8"/>
    </i>
    <i>
      <x v="3"/>
    </i>
    <i r="1">
      <x v="9"/>
    </i>
  </rowItems>
  <colFields count="1">
    <field x="5"/>
  </colFields>
  <colItems count="4">
    <i>
      <x/>
    </i>
    <i>
      <x v="1"/>
    </i>
    <i>
      <x v="2"/>
    </i>
    <i>
      <x v="4"/>
    </i>
  </colItems>
  <dataFields count="1">
    <dataField name="Máx. de % EFICACIA PROMEDIO " fld="4" subtotal="max" baseField="1" baseItem="0" numFmtId="9"/>
  </dataFields>
  <formats count="1">
    <format dxfId="27">
      <pivotArea outline="0" collapsedLevelsAreSubtotals="1" fieldPosition="0"/>
    </format>
  </formats>
  <chartFormats count="5">
    <chartFormat chart="5" format="49" series="1">
      <pivotArea type="data" outline="0" fieldPosition="0">
        <references count="2">
          <reference field="4294967294" count="1" selected="0">
            <x v="0"/>
          </reference>
          <reference field="5" count="1" selected="0">
            <x v="4"/>
          </reference>
        </references>
      </pivotArea>
    </chartFormat>
    <chartFormat chart="5" format="50" series="1">
      <pivotArea type="data" outline="0" fieldPosition="0">
        <references count="2">
          <reference field="4294967294" count="1" selected="0">
            <x v="0"/>
          </reference>
          <reference field="5" count="1" selected="0">
            <x v="0"/>
          </reference>
        </references>
      </pivotArea>
    </chartFormat>
    <chartFormat chart="5" format="51" series="1">
      <pivotArea type="data" outline="0" fieldPosition="0">
        <references count="2">
          <reference field="4294967294" count="1" selected="0">
            <x v="0"/>
          </reference>
          <reference field="5" count="1" selected="0">
            <x v="2"/>
          </reference>
        </references>
      </pivotArea>
    </chartFormat>
    <chartFormat chart="5" format="52" series="1">
      <pivotArea type="data" outline="0" fieldPosition="0">
        <references count="2">
          <reference field="4294967294" count="1" selected="0">
            <x v="0"/>
          </reference>
          <reference field="5" count="1" selected="0">
            <x v="3"/>
          </reference>
        </references>
      </pivotArea>
    </chartFormat>
    <chartFormat chart="5" format="53"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filters count="1">
    <filter fld="5" type="captionNotEqual" evalOrder="-1" id="4" stringValue1="">
      <autoFilter ref="A1">
        <filterColumn colId="0">
          <customFilters>
            <customFilter operator="notEqual" val=" "/>
          </customFilters>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2" name="Tabla243" displayName="Tabla243" ref="C13:N200" totalsRowShown="0" headerRowDxfId="66" dataDxfId="64" headerRowBorderDxfId="65" tableBorderDxfId="63" headerRowCellStyle="Énfasis5">
  <autoFilter ref="C13:N200"/>
  <tableColumns count="12">
    <tableColumn id="12" name="sec" dataDxfId="62">
      <calculatedColumnFormula>ROW()</calculatedColumnFormula>
    </tableColumn>
    <tableColumn id="2" name="TIPO" dataDxfId="61"/>
    <tableColumn id="3" name="CÓDIGO ACP" dataDxfId="60"/>
    <tableColumn id="11" name="ACCIONES DE CORTO PLAZO" dataDxfId="59"/>
    <tableColumn id="5" name="CÓDIGO SECUENCIAL" dataDxfId="58"/>
    <tableColumn id="6" name="CÓDIGO DE OPERACIÓN                              " dataDxfId="57"/>
    <tableColumn id="9" name="OPERACIÓN" dataDxfId="56"/>
    <tableColumn id="14" name="SIGLAS DE UNIDADES ORGANIZACIONALES" dataDxfId="55"/>
    <tableColumn id="4" name="% EFICACIA PROMEDIO _x000a_PONDERADA" dataDxfId="54" dataCellStyle="Porcentaje"/>
    <tableColumn id="7" name="EVALUACIÓN" dataDxfId="53" dataCellStyle="Porcentaje"/>
    <tableColumn id="8" name="JUSTIFICACIONES" dataDxfId="52"/>
    <tableColumn id="10" name="ACCIONES CORRECTIVAS" dataDxfId="51"/>
  </tableColumns>
  <tableStyleInfo name="TableStyleLight9" showFirstColumn="0" showLastColumn="0" showRowStripes="0" showColumnStripes="0"/>
</table>
</file>

<file path=xl/tables/table2.xml><?xml version="1.0" encoding="utf-8"?>
<table xmlns="http://schemas.openxmlformats.org/spreadsheetml/2006/main" id="4" name="Tabla2435" displayName="Tabla2435" ref="C13:N30" totalsRowShown="0" headerRowDxfId="43" dataDxfId="41" headerRowBorderDxfId="42" tableBorderDxfId="40" headerRowCellStyle="Énfasis5">
  <autoFilter ref="C13:N30"/>
  <tableColumns count="12">
    <tableColumn id="1" name="sec" dataDxfId="39">
      <calculatedColumnFormula>ROW()</calculatedColumnFormula>
    </tableColumn>
    <tableColumn id="22" name="TIPO" dataDxfId="38" dataCellStyle="Porcentaje"/>
    <tableColumn id="3" name="CÓDIGO ACP" dataDxfId="37"/>
    <tableColumn id="11" name="ACCIONES DE CORTO PLAZO" dataDxfId="36"/>
    <tableColumn id="4" name="% EFICACIA PROMEDIO _x000a_PONDERADA" dataDxfId="35" dataCellStyle="Porcentaje"/>
    <tableColumn id="20" name="EVALUACIÓN DE EFICACIA PROMEDIO PONDERADA" dataDxfId="34" dataCellStyle="Porcentaje"/>
    <tableColumn id="12" name="PONDERACIÓN POR ACP" dataDxfId="33" dataCellStyle="Porcentaje"/>
    <tableColumn id="15" name="EFICACIA EN BASE A  PONDERACIÓN POR ACP" dataDxfId="32" dataCellStyle="Porcentaje"/>
    <tableColumn id="19" name="EVALUACIÓN EFICACIA EN BASE A  PONDERACIÓN POR ACP" dataDxfId="31" dataCellStyle="Porcentaje"/>
    <tableColumn id="16" name="SIGLAS DE UNIDADES ORGANIZACIONALES" dataDxfId="30" dataCellStyle="Porcentaje"/>
    <tableColumn id="17" name="OPERACIONES POR ACP" dataDxfId="29" dataCellStyle="Porcentaje"/>
    <tableColumn id="18" name="% DE OPERACIONES POR ACP" dataDxfId="28" dataCellStyle="Porcentaje"/>
  </tableColumns>
  <tableStyleInfo name="Estilo de tabla 1" showFirstColumn="0" showLastColumn="0" showRowStripes="0" showColumnStripes="0"/>
</table>
</file>

<file path=xl/tables/table3.xml><?xml version="1.0" encoding="utf-8"?>
<table xmlns="http://schemas.openxmlformats.org/spreadsheetml/2006/main" id="5" name="Tabla24356" displayName="Tabla24356" ref="D13:Q30" totalsRowShown="0" headerRowDxfId="17" dataDxfId="15" headerRowBorderDxfId="16" tableBorderDxfId="14" headerRowCellStyle="Énfasis5">
  <autoFilter ref="D13:Q30"/>
  <tableColumns count="14">
    <tableColumn id="22" name="TIPO" dataDxfId="13" dataCellStyle="Porcentaje"/>
    <tableColumn id="3" name="CÓDIGO ACP" dataDxfId="12"/>
    <tableColumn id="11" name="ACCIONES DE CORTO PLAZO" dataDxfId="11"/>
    <tableColumn id="4" name="% EFICACIA PROMEDIO _x000a_PONDERADA" dataDxfId="10" dataCellStyle="Porcentaje"/>
    <tableColumn id="20" name="EVALUACIÓN DE EFICACIA PROMEDIO PONDERADA" dataDxfId="9" dataCellStyle="Porcentaje"/>
    <tableColumn id="23" name="PRESUPUESTO DE GASTO CORRIENTE PROGRAMADO VIGENTE" dataDxfId="8" dataCellStyle="Porcentaje"/>
    <tableColumn id="1" name="PRESUPUESTO DE INVERSIÓN PROGRAMADO VIGENTE" dataDxfId="7" dataCellStyle="Porcentaje"/>
    <tableColumn id="2" name="TOTAL PRESUPUESTO   PROGRAMADO VIGENTE" dataDxfId="6" dataCellStyle="Porcentaje"/>
    <tableColumn id="24" name="EJECUCIÓN GASTO CORRIENTE" dataDxfId="5" dataCellStyle="Porcentaje"/>
    <tableColumn id="25" name="EJECUCIÓN INVERSIÓN" dataDxfId="4" dataCellStyle="Porcentaje"/>
    <tableColumn id="28" name="TOTAL PRESUPUESTO  EJECUTADO" dataDxfId="3" dataCellStyle="Porcentaje"/>
    <tableColumn id="27" name="TOTAL SALDO NO EJECUTADO " dataDxfId="2" dataCellStyle="Porcentaje"/>
    <tableColumn id="26" name="% EFICIENCIA EJECUCIÓN PRESU-_x000a_PUESTARIA" dataDxfId="1" dataCellStyle="Porcentaje"/>
    <tableColumn id="16" name="SIGLAS DE UNIDADES ORGANIZACIONALES" dataDxfId="0" dataCellStyle="Porcentaje"/>
  </tableColumns>
  <tableStyleInfo name="Estilo de tabla 1" showFirstColumn="0" showLastColumn="0" showRowStripes="0"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pageSetUpPr fitToPage="1"/>
  </sheetPr>
  <dimension ref="A1:N200"/>
  <sheetViews>
    <sheetView tabSelected="1" topLeftCell="D1" zoomScale="80" zoomScaleNormal="80" workbookViewId="0">
      <selection activeCell="D14" sqref="D14"/>
    </sheetView>
  </sheetViews>
  <sheetFormatPr baseColWidth="10" defaultRowHeight="15" x14ac:dyDescent="0.25"/>
  <cols>
    <col min="1" max="1" width="4.28515625" hidden="1" customWidth="1"/>
    <col min="2" max="2" width="2.28515625" hidden="1" customWidth="1"/>
    <col min="3" max="3" width="9" hidden="1" customWidth="1"/>
    <col min="4" max="4" width="19.85546875" bestFit="1" customWidth="1"/>
    <col min="5" max="5" width="19" customWidth="1"/>
    <col min="6" max="6" width="35.28515625" customWidth="1"/>
    <col min="7" max="7" width="14.42578125" customWidth="1"/>
    <col min="8" max="8" width="14.5703125" customWidth="1"/>
    <col min="9" max="9" width="49.28515625" customWidth="1"/>
    <col min="10" max="10" width="16.7109375" customWidth="1"/>
    <col min="11" max="11" width="16.140625" customWidth="1"/>
    <col min="12" max="12" width="20.42578125" customWidth="1"/>
    <col min="13" max="13" width="79.28515625" customWidth="1"/>
    <col min="14" max="14" width="69.7109375" customWidth="1"/>
  </cols>
  <sheetData>
    <row r="1" spans="1:14" x14ac:dyDescent="0.25">
      <c r="B1" s="1"/>
      <c r="C1" s="1"/>
      <c r="D1" s="1"/>
      <c r="E1" s="1"/>
      <c r="F1" s="1"/>
      <c r="G1" s="1"/>
      <c r="H1" s="1"/>
      <c r="I1" s="1"/>
      <c r="J1" s="1"/>
      <c r="K1" s="1"/>
      <c r="L1" s="1"/>
      <c r="M1" s="1"/>
      <c r="N1" s="1"/>
    </row>
    <row r="2" spans="1:14" ht="83.25" customHeight="1" x14ac:dyDescent="0.25">
      <c r="B2" s="1"/>
      <c r="C2" s="5" t="s">
        <v>88</v>
      </c>
      <c r="D2" s="37" t="str">
        <f>SUBSTITUTE(SUBSTITUTE(C2,"$POA$",A6),"$MES$",LOWER(B6))</f>
        <v>Seguimiento y Evaluación de la Consecución de las Acciones de Corto Plazo del 
PLAN OPERATIVO ANUAL (POA) 2024 al mes de marzo</v>
      </c>
      <c r="E2" s="37"/>
      <c r="F2" s="37"/>
      <c r="G2" s="37"/>
      <c r="H2" s="37"/>
      <c r="I2" s="37"/>
      <c r="J2" s="37"/>
      <c r="K2" s="37"/>
      <c r="L2" s="37"/>
      <c r="M2" s="37"/>
      <c r="N2" s="37"/>
    </row>
    <row r="3" spans="1:14" ht="8.25" customHeight="1" x14ac:dyDescent="0.25">
      <c r="B3" s="1"/>
      <c r="C3" s="1"/>
      <c r="D3" s="1"/>
      <c r="E3" s="2"/>
      <c r="F3" s="2"/>
      <c r="G3" s="2"/>
      <c r="H3" s="2"/>
      <c r="I3" s="2"/>
      <c r="J3" s="2"/>
      <c r="K3" s="2"/>
      <c r="L3" s="2"/>
      <c r="M3" s="2"/>
      <c r="N3" s="2"/>
    </row>
    <row r="4" spans="1:14" ht="15" hidden="1" customHeight="1" x14ac:dyDescent="0.25">
      <c r="B4" s="1"/>
      <c r="C4" s="1"/>
      <c r="D4" s="1"/>
      <c r="E4" s="2"/>
      <c r="F4" s="2"/>
      <c r="G4" s="2"/>
      <c r="H4" s="2"/>
      <c r="I4" s="2"/>
      <c r="J4" s="2"/>
      <c r="K4" s="2"/>
      <c r="L4" s="2"/>
      <c r="M4" s="2"/>
      <c r="N4" s="2"/>
    </row>
    <row r="5" spans="1:14" ht="3" hidden="1" customHeight="1" x14ac:dyDescent="0.25">
      <c r="B5" s="1"/>
      <c r="C5" s="1"/>
      <c r="D5" s="1"/>
      <c r="E5" s="1"/>
      <c r="F5" s="1"/>
      <c r="G5" s="3"/>
      <c r="H5" s="3"/>
      <c r="I5" s="3"/>
      <c r="J5" s="3"/>
      <c r="K5" s="3"/>
      <c r="L5" s="3"/>
      <c r="M5" s="3"/>
      <c r="N5" s="3"/>
    </row>
    <row r="6" spans="1:14" ht="62.25" hidden="1" customHeight="1" x14ac:dyDescent="0.25">
      <c r="A6" s="8" t="s">
        <v>16</v>
      </c>
      <c r="B6" s="4" t="s">
        <v>8</v>
      </c>
      <c r="E6" s="1"/>
      <c r="M6" s="3"/>
      <c r="N6" s="3"/>
    </row>
    <row r="7" spans="1:14" ht="13.5" hidden="1" customHeight="1" x14ac:dyDescent="0.25">
      <c r="B7" s="4"/>
      <c r="E7" s="1"/>
      <c r="F7" s="1"/>
      <c r="G7" s="1"/>
      <c r="K7" s="1"/>
      <c r="L7" s="1"/>
      <c r="M7" s="4"/>
      <c r="N7" s="1"/>
    </row>
    <row r="8" spans="1:14" ht="22.5" hidden="1" customHeight="1" x14ac:dyDescent="0.25"/>
    <row r="9" spans="1:14" ht="19.5" hidden="1" customHeight="1" x14ac:dyDescent="0.25"/>
    <row r="10" spans="1:14" hidden="1" x14ac:dyDescent="0.25"/>
    <row r="11" spans="1:14" hidden="1" x14ac:dyDescent="0.25"/>
    <row r="12" spans="1:14" ht="34.5" hidden="1" customHeight="1" x14ac:dyDescent="0.25">
      <c r="M12" s="36" t="s">
        <v>4</v>
      </c>
      <c r="N12" s="36"/>
    </row>
    <row r="13" spans="1:14" ht="78.75" customHeight="1" x14ac:dyDescent="0.25">
      <c r="C13" s="7" t="s">
        <v>25</v>
      </c>
      <c r="D13" s="7" t="s">
        <v>7</v>
      </c>
      <c r="E13" s="6" t="s">
        <v>89</v>
      </c>
      <c r="F13" s="6" t="s">
        <v>0</v>
      </c>
      <c r="G13" s="6" t="s">
        <v>90</v>
      </c>
      <c r="H13" s="6" t="s">
        <v>91</v>
      </c>
      <c r="I13" s="6" t="s">
        <v>1</v>
      </c>
      <c r="J13" s="6" t="s">
        <v>2</v>
      </c>
      <c r="K13" s="6" t="s">
        <v>3</v>
      </c>
      <c r="L13" s="6" t="s">
        <v>92</v>
      </c>
      <c r="M13" s="6" t="s">
        <v>5</v>
      </c>
      <c r="N13" s="7" t="s">
        <v>6</v>
      </c>
    </row>
    <row r="14" spans="1:14" ht="105" x14ac:dyDescent="0.25">
      <c r="C14" s="8">
        <f>ROW()</f>
        <v>14</v>
      </c>
      <c r="D14" s="12" t="s">
        <v>26</v>
      </c>
      <c r="E14" s="9">
        <v>3</v>
      </c>
      <c r="F14" s="19" t="s">
        <v>84</v>
      </c>
      <c r="G14" s="9" t="s">
        <v>29</v>
      </c>
      <c r="H14" s="9" t="s">
        <v>30</v>
      </c>
      <c r="I14" s="19" t="s">
        <v>31</v>
      </c>
      <c r="J14" s="10" t="s">
        <v>27</v>
      </c>
      <c r="K14" s="11">
        <v>1</v>
      </c>
      <c r="L14" s="13" t="s">
        <v>20</v>
      </c>
      <c r="M14" s="20" t="s">
        <v>32</v>
      </c>
      <c r="N14" s="20" t="s">
        <v>85</v>
      </c>
    </row>
    <row r="15" spans="1:14" ht="345" x14ac:dyDescent="0.25">
      <c r="C15" s="8">
        <f>ROW()</f>
        <v>15</v>
      </c>
      <c r="D15" s="12" t="s">
        <v>26</v>
      </c>
      <c r="E15" s="9">
        <v>3</v>
      </c>
      <c r="F15" s="19" t="s">
        <v>84</v>
      </c>
      <c r="G15" s="9" t="s">
        <v>33</v>
      </c>
      <c r="H15" s="9" t="s">
        <v>34</v>
      </c>
      <c r="I15" s="19" t="s">
        <v>35</v>
      </c>
      <c r="J15" s="10" t="s">
        <v>28</v>
      </c>
      <c r="K15" s="11">
        <v>1</v>
      </c>
      <c r="L15" s="13" t="s">
        <v>20</v>
      </c>
      <c r="M15" s="20" t="s">
        <v>36</v>
      </c>
      <c r="N15" s="20" t="s">
        <v>85</v>
      </c>
    </row>
    <row r="16" spans="1:14" ht="330" x14ac:dyDescent="0.25">
      <c r="C16" s="8">
        <f>ROW()</f>
        <v>16</v>
      </c>
      <c r="D16" s="12" t="s">
        <v>26</v>
      </c>
      <c r="E16" s="9">
        <v>3</v>
      </c>
      <c r="F16" s="19" t="s">
        <v>84</v>
      </c>
      <c r="G16" s="9" t="s">
        <v>37</v>
      </c>
      <c r="H16" s="9" t="s">
        <v>38</v>
      </c>
      <c r="I16" s="19" t="s">
        <v>39</v>
      </c>
      <c r="J16" s="10" t="s">
        <v>28</v>
      </c>
      <c r="K16" s="11">
        <v>0.97398514201195596</v>
      </c>
      <c r="L16" s="13" t="s">
        <v>20</v>
      </c>
      <c r="M16" s="20" t="s">
        <v>40</v>
      </c>
      <c r="N16" s="20" t="s">
        <v>41</v>
      </c>
    </row>
    <row r="17" spans="3:14" ht="75" x14ac:dyDescent="0.25">
      <c r="C17" s="8">
        <f>ROW()</f>
        <v>17</v>
      </c>
      <c r="D17" s="12" t="s">
        <v>83</v>
      </c>
      <c r="E17" s="9">
        <v>3</v>
      </c>
      <c r="F17" s="19" t="s">
        <v>84</v>
      </c>
      <c r="G17" s="9"/>
      <c r="H17" s="9"/>
      <c r="I17" s="19"/>
      <c r="J17" s="10"/>
      <c r="K17" s="11">
        <v>0.99132838067065299</v>
      </c>
      <c r="L17" s="13" t="s">
        <v>20</v>
      </c>
      <c r="M17" s="20"/>
      <c r="N17" s="20"/>
    </row>
    <row r="18" spans="3:14" ht="60" x14ac:dyDescent="0.25">
      <c r="C18" s="8">
        <f>ROW()</f>
        <v>18</v>
      </c>
      <c r="D18" s="12" t="s">
        <v>26</v>
      </c>
      <c r="E18" s="9">
        <v>4</v>
      </c>
      <c r="F18" s="22" t="s">
        <v>86</v>
      </c>
      <c r="G18" s="9" t="s">
        <v>42</v>
      </c>
      <c r="H18" s="9" t="s">
        <v>43</v>
      </c>
      <c r="I18" s="19" t="s">
        <v>44</v>
      </c>
      <c r="J18" s="10" t="s">
        <v>45</v>
      </c>
      <c r="K18" s="11">
        <v>1</v>
      </c>
      <c r="L18" s="13" t="s">
        <v>20</v>
      </c>
      <c r="M18" s="20" t="s">
        <v>46</v>
      </c>
      <c r="N18" s="20" t="s">
        <v>85</v>
      </c>
    </row>
    <row r="19" spans="3:14" ht="195" x14ac:dyDescent="0.25">
      <c r="C19" s="8">
        <f>ROW()</f>
        <v>19</v>
      </c>
      <c r="D19" s="12" t="s">
        <v>26</v>
      </c>
      <c r="E19" s="9">
        <v>4</v>
      </c>
      <c r="F19" s="19" t="s">
        <v>86</v>
      </c>
      <c r="G19" s="9" t="s">
        <v>47</v>
      </c>
      <c r="H19" s="9" t="s">
        <v>48</v>
      </c>
      <c r="I19" s="19" t="s">
        <v>49</v>
      </c>
      <c r="J19" s="10" t="s">
        <v>45</v>
      </c>
      <c r="K19" s="11">
        <v>1</v>
      </c>
      <c r="L19" s="13" t="s">
        <v>20</v>
      </c>
      <c r="M19" s="20" t="s">
        <v>50</v>
      </c>
      <c r="N19" s="20" t="s">
        <v>85</v>
      </c>
    </row>
    <row r="20" spans="3:14" ht="60" x14ac:dyDescent="0.25">
      <c r="C20" s="8">
        <f>ROW()</f>
        <v>20</v>
      </c>
      <c r="D20" s="12" t="s">
        <v>26</v>
      </c>
      <c r="E20" s="9">
        <v>4</v>
      </c>
      <c r="F20" s="19" t="s">
        <v>86</v>
      </c>
      <c r="G20" s="9" t="s">
        <v>51</v>
      </c>
      <c r="H20" s="9" t="s">
        <v>52</v>
      </c>
      <c r="I20" s="19" t="s">
        <v>53</v>
      </c>
      <c r="J20" s="10" t="s">
        <v>45</v>
      </c>
      <c r="K20" s="11">
        <v>-1</v>
      </c>
      <c r="L20" s="13" t="s">
        <v>85</v>
      </c>
      <c r="M20" s="20" t="s">
        <v>85</v>
      </c>
      <c r="N20" s="20" t="s">
        <v>85</v>
      </c>
    </row>
    <row r="21" spans="3:14" ht="390" x14ac:dyDescent="0.25">
      <c r="C21" s="8">
        <f>ROW()</f>
        <v>21</v>
      </c>
      <c r="D21" s="12" t="s">
        <v>26</v>
      </c>
      <c r="E21" s="9">
        <v>4</v>
      </c>
      <c r="F21" s="19" t="s">
        <v>86</v>
      </c>
      <c r="G21" s="9" t="s">
        <v>54</v>
      </c>
      <c r="H21" s="9" t="s">
        <v>55</v>
      </c>
      <c r="I21" s="19" t="s">
        <v>56</v>
      </c>
      <c r="J21" s="10" t="s">
        <v>57</v>
      </c>
      <c r="K21" s="11">
        <v>1</v>
      </c>
      <c r="L21" s="13" t="s">
        <v>20</v>
      </c>
      <c r="M21" s="20" t="s">
        <v>58</v>
      </c>
      <c r="N21" s="20" t="s">
        <v>59</v>
      </c>
    </row>
    <row r="22" spans="3:14" ht="409.5" x14ac:dyDescent="0.25">
      <c r="C22" s="8">
        <f>ROW()</f>
        <v>22</v>
      </c>
      <c r="D22" s="12" t="s">
        <v>26</v>
      </c>
      <c r="E22" s="9">
        <v>4</v>
      </c>
      <c r="F22" s="19" t="s">
        <v>86</v>
      </c>
      <c r="G22" s="9" t="s">
        <v>60</v>
      </c>
      <c r="H22" s="9" t="s">
        <v>61</v>
      </c>
      <c r="I22" s="19" t="s">
        <v>62</v>
      </c>
      <c r="J22" s="10" t="s">
        <v>57</v>
      </c>
      <c r="K22" s="11">
        <v>1</v>
      </c>
      <c r="L22" s="13" t="s">
        <v>20</v>
      </c>
      <c r="M22" s="20" t="s">
        <v>63</v>
      </c>
      <c r="N22" s="20" t="s">
        <v>64</v>
      </c>
    </row>
    <row r="23" spans="3:14" ht="60" x14ac:dyDescent="0.25">
      <c r="C23" s="8">
        <f>ROW()</f>
        <v>23</v>
      </c>
      <c r="D23" s="12" t="s">
        <v>26</v>
      </c>
      <c r="E23" s="9">
        <v>4</v>
      </c>
      <c r="F23" s="23" t="s">
        <v>86</v>
      </c>
      <c r="G23" s="9" t="s">
        <v>65</v>
      </c>
      <c r="H23" s="9" t="s">
        <v>66</v>
      </c>
      <c r="I23" s="19" t="s">
        <v>67</v>
      </c>
      <c r="J23" s="10" t="s">
        <v>68</v>
      </c>
      <c r="K23" s="11">
        <v>-1</v>
      </c>
      <c r="L23" s="13" t="s">
        <v>85</v>
      </c>
      <c r="M23" s="20" t="s">
        <v>85</v>
      </c>
      <c r="N23" s="20" t="s">
        <v>85</v>
      </c>
    </row>
    <row r="24" spans="3:14" ht="90" x14ac:dyDescent="0.25">
      <c r="C24" s="8">
        <f>ROW()</f>
        <v>24</v>
      </c>
      <c r="D24" s="12" t="s">
        <v>26</v>
      </c>
      <c r="E24" s="9">
        <v>4</v>
      </c>
      <c r="F24" s="19" t="s">
        <v>86</v>
      </c>
      <c r="G24" s="9" t="s">
        <v>69</v>
      </c>
      <c r="H24" s="9" t="s">
        <v>70</v>
      </c>
      <c r="I24" s="19" t="s">
        <v>71</v>
      </c>
      <c r="J24" s="10" t="s">
        <v>72</v>
      </c>
      <c r="K24" s="11">
        <v>0.999999999999996</v>
      </c>
      <c r="L24" s="13" t="s">
        <v>20</v>
      </c>
      <c r="M24" s="20" t="s">
        <v>85</v>
      </c>
      <c r="N24" s="20" t="s">
        <v>85</v>
      </c>
    </row>
    <row r="25" spans="3:14" ht="409.5" x14ac:dyDescent="0.25">
      <c r="C25" s="8">
        <f>ROW()</f>
        <v>25</v>
      </c>
      <c r="D25" s="12" t="s">
        <v>26</v>
      </c>
      <c r="E25" s="9">
        <v>4</v>
      </c>
      <c r="F25" s="19" t="s">
        <v>86</v>
      </c>
      <c r="G25" s="9" t="s">
        <v>73</v>
      </c>
      <c r="H25" s="9" t="s">
        <v>74</v>
      </c>
      <c r="I25" s="19" t="s">
        <v>75</v>
      </c>
      <c r="J25" s="10" t="s">
        <v>76</v>
      </c>
      <c r="K25" s="11">
        <v>0.94552902510172798</v>
      </c>
      <c r="L25" s="13" t="s">
        <v>21</v>
      </c>
      <c r="M25" s="20" t="s">
        <v>77</v>
      </c>
      <c r="N25" s="20" t="s">
        <v>78</v>
      </c>
    </row>
    <row r="26" spans="3:14" ht="180" x14ac:dyDescent="0.25">
      <c r="C26" s="8">
        <f>ROW()</f>
        <v>26</v>
      </c>
      <c r="D26" s="12" t="s">
        <v>26</v>
      </c>
      <c r="E26" s="9">
        <v>4</v>
      </c>
      <c r="F26" s="19" t="s">
        <v>86</v>
      </c>
      <c r="G26" s="9" t="s">
        <v>79</v>
      </c>
      <c r="H26" s="9" t="s">
        <v>80</v>
      </c>
      <c r="I26" s="19" t="s">
        <v>81</v>
      </c>
      <c r="J26" s="10" t="s">
        <v>76</v>
      </c>
      <c r="K26" s="11">
        <v>1</v>
      </c>
      <c r="L26" s="13" t="s">
        <v>20</v>
      </c>
      <c r="M26" s="20" t="s">
        <v>82</v>
      </c>
      <c r="N26" s="20" t="s">
        <v>85</v>
      </c>
    </row>
    <row r="27" spans="3:14" ht="60" x14ac:dyDescent="0.25">
      <c r="C27" s="8">
        <f>ROW()</f>
        <v>27</v>
      </c>
      <c r="D27" s="12" t="s">
        <v>83</v>
      </c>
      <c r="E27" s="9">
        <v>4</v>
      </c>
      <c r="F27" s="19" t="s">
        <v>86</v>
      </c>
      <c r="G27" s="9"/>
      <c r="H27" s="9"/>
      <c r="I27" s="19"/>
      <c r="J27" s="10"/>
      <c r="K27" s="11">
        <v>0.99221843215739003</v>
      </c>
      <c r="L27" s="13" t="s">
        <v>20</v>
      </c>
      <c r="M27" s="20"/>
      <c r="N27" s="20"/>
    </row>
    <row r="28" spans="3:14" x14ac:dyDescent="0.25">
      <c r="C28" s="8">
        <f>ROW()</f>
        <v>28</v>
      </c>
      <c r="D28" s="12"/>
      <c r="E28" s="9"/>
      <c r="F28" s="19"/>
      <c r="G28" s="9"/>
      <c r="H28" s="9"/>
      <c r="I28" s="19"/>
      <c r="J28" s="10"/>
      <c r="K28" s="11"/>
      <c r="L28" s="13"/>
      <c r="M28" s="20"/>
      <c r="N28" s="20"/>
    </row>
    <row r="29" spans="3:14" x14ac:dyDescent="0.25">
      <c r="C29" s="8">
        <f>ROW()</f>
        <v>29</v>
      </c>
      <c r="D29" s="12"/>
      <c r="E29" s="9"/>
      <c r="F29" s="19"/>
      <c r="G29" s="9"/>
      <c r="H29" s="9"/>
      <c r="I29" s="19"/>
      <c r="J29" s="10"/>
      <c r="K29" s="11"/>
      <c r="L29" s="13"/>
      <c r="M29" s="20"/>
      <c r="N29" s="20"/>
    </row>
    <row r="30" spans="3:14" x14ac:dyDescent="0.25">
      <c r="C30" s="8">
        <f>ROW()</f>
        <v>30</v>
      </c>
      <c r="D30" s="12"/>
      <c r="E30" s="9"/>
      <c r="F30" s="19"/>
      <c r="G30" s="9"/>
      <c r="H30" s="9"/>
      <c r="I30" s="19"/>
      <c r="J30" s="10"/>
      <c r="K30" s="11"/>
      <c r="L30" s="13"/>
      <c r="M30" s="20"/>
      <c r="N30" s="20"/>
    </row>
    <row r="31" spans="3:14" x14ac:dyDescent="0.25">
      <c r="C31" s="8">
        <f>ROW()</f>
        <v>31</v>
      </c>
      <c r="D31" s="12"/>
      <c r="E31" s="9"/>
      <c r="F31" s="19"/>
      <c r="G31" s="9"/>
      <c r="H31" s="9"/>
      <c r="I31" s="19"/>
      <c r="J31" s="10"/>
      <c r="K31" s="11"/>
      <c r="L31" s="13"/>
      <c r="M31" s="20"/>
      <c r="N31" s="20"/>
    </row>
    <row r="32" spans="3:14" x14ac:dyDescent="0.25">
      <c r="C32" s="8">
        <f>ROW()</f>
        <v>32</v>
      </c>
      <c r="D32" s="12"/>
      <c r="E32" s="9"/>
      <c r="F32" s="19"/>
      <c r="G32" s="9"/>
      <c r="H32" s="9"/>
      <c r="I32" s="19"/>
      <c r="J32" s="10"/>
      <c r="K32" s="11"/>
      <c r="L32" s="13"/>
      <c r="M32" s="20"/>
      <c r="N32" s="20"/>
    </row>
    <row r="33" spans="3:14" x14ac:dyDescent="0.25">
      <c r="C33" s="8">
        <f>ROW()</f>
        <v>33</v>
      </c>
      <c r="D33" s="12"/>
      <c r="E33" s="9"/>
      <c r="F33" s="19"/>
      <c r="G33" s="9"/>
      <c r="H33" s="9"/>
      <c r="I33" s="19"/>
      <c r="J33" s="10"/>
      <c r="K33" s="11"/>
      <c r="L33" s="13"/>
      <c r="M33" s="20"/>
      <c r="N33" s="20"/>
    </row>
    <row r="34" spans="3:14" x14ac:dyDescent="0.25">
      <c r="C34" s="8">
        <f>ROW()</f>
        <v>34</v>
      </c>
      <c r="D34" s="12"/>
      <c r="E34" s="9"/>
      <c r="F34" s="19"/>
      <c r="G34" s="9"/>
      <c r="H34" s="9"/>
      <c r="I34" s="19"/>
      <c r="J34" s="10"/>
      <c r="K34" s="11"/>
      <c r="L34" s="13"/>
      <c r="M34" s="20"/>
      <c r="N34" s="20"/>
    </row>
    <row r="35" spans="3:14" x14ac:dyDescent="0.25">
      <c r="C35" s="8">
        <f>ROW()</f>
        <v>35</v>
      </c>
      <c r="D35" s="12"/>
      <c r="E35" s="9"/>
      <c r="F35" s="19"/>
      <c r="G35" s="9"/>
      <c r="H35" s="9"/>
      <c r="I35" s="19"/>
      <c r="J35" s="10"/>
      <c r="K35" s="11"/>
      <c r="L35" s="13"/>
      <c r="M35" s="20"/>
      <c r="N35" s="20"/>
    </row>
    <row r="36" spans="3:14" x14ac:dyDescent="0.25">
      <c r="C36" s="8">
        <f>ROW()</f>
        <v>36</v>
      </c>
      <c r="D36" s="12"/>
      <c r="E36" s="9"/>
      <c r="F36" s="19"/>
      <c r="G36" s="9"/>
      <c r="H36" s="9"/>
      <c r="I36" s="19"/>
      <c r="J36" s="10"/>
      <c r="K36" s="11"/>
      <c r="L36" s="13"/>
      <c r="M36" s="20"/>
      <c r="N36" s="20"/>
    </row>
    <row r="37" spans="3:14" x14ac:dyDescent="0.25">
      <c r="C37" s="8">
        <f>ROW()</f>
        <v>37</v>
      </c>
      <c r="D37" s="12"/>
      <c r="E37" s="9"/>
      <c r="F37" s="19"/>
      <c r="G37" s="9"/>
      <c r="H37" s="9"/>
      <c r="I37" s="19"/>
      <c r="J37" s="10"/>
      <c r="K37" s="11"/>
      <c r="L37" s="13"/>
      <c r="M37" s="20"/>
      <c r="N37" s="20"/>
    </row>
    <row r="38" spans="3:14" x14ac:dyDescent="0.25">
      <c r="C38" s="8">
        <f>ROW()</f>
        <v>38</v>
      </c>
      <c r="D38" s="12"/>
      <c r="E38" s="9"/>
      <c r="F38" s="19"/>
      <c r="G38" s="9"/>
      <c r="H38" s="9"/>
      <c r="I38" s="19"/>
      <c r="J38" s="10"/>
      <c r="K38" s="11"/>
      <c r="L38" s="13"/>
      <c r="M38" s="20"/>
      <c r="N38" s="20"/>
    </row>
    <row r="39" spans="3:14" x14ac:dyDescent="0.25">
      <c r="C39" s="8">
        <f>ROW()</f>
        <v>39</v>
      </c>
      <c r="D39" s="12"/>
      <c r="E39" s="9"/>
      <c r="F39" s="19"/>
      <c r="G39" s="9"/>
      <c r="H39" s="9"/>
      <c r="I39" s="19"/>
      <c r="J39" s="10"/>
      <c r="K39" s="11"/>
      <c r="L39" s="13"/>
      <c r="M39" s="20"/>
      <c r="N39" s="20"/>
    </row>
    <row r="40" spans="3:14" x14ac:dyDescent="0.25">
      <c r="C40" s="8">
        <f>ROW()</f>
        <v>40</v>
      </c>
      <c r="D40" s="12"/>
      <c r="E40" s="9"/>
      <c r="F40" s="19"/>
      <c r="G40" s="9"/>
      <c r="H40" s="9"/>
      <c r="I40" s="19"/>
      <c r="J40" s="10"/>
      <c r="K40" s="11"/>
      <c r="L40" s="13"/>
      <c r="M40" s="20"/>
      <c r="N40" s="20"/>
    </row>
    <row r="41" spans="3:14" x14ac:dyDescent="0.25">
      <c r="C41" s="8">
        <f>ROW()</f>
        <v>41</v>
      </c>
      <c r="D41" s="12"/>
      <c r="E41" s="9"/>
      <c r="F41" s="19"/>
      <c r="G41" s="9"/>
      <c r="H41" s="9"/>
      <c r="I41" s="19"/>
      <c r="J41" s="10"/>
      <c r="K41" s="11"/>
      <c r="L41" s="13"/>
      <c r="M41" s="20"/>
      <c r="N41" s="20"/>
    </row>
    <row r="42" spans="3:14" x14ac:dyDescent="0.25">
      <c r="C42" s="8">
        <f>ROW()</f>
        <v>42</v>
      </c>
      <c r="D42" s="12"/>
      <c r="E42" s="9"/>
      <c r="F42" s="19"/>
      <c r="G42" s="9"/>
      <c r="H42" s="9"/>
      <c r="I42" s="19"/>
      <c r="J42" s="10"/>
      <c r="K42" s="11"/>
      <c r="L42" s="13"/>
      <c r="M42" s="20"/>
      <c r="N42" s="20"/>
    </row>
    <row r="43" spans="3:14" x14ac:dyDescent="0.25">
      <c r="C43" s="8">
        <f>ROW()</f>
        <v>43</v>
      </c>
      <c r="D43" s="12"/>
      <c r="E43" s="9"/>
      <c r="F43" s="19"/>
      <c r="G43" s="9"/>
      <c r="H43" s="9"/>
      <c r="I43" s="19"/>
      <c r="J43" s="10"/>
      <c r="K43" s="11"/>
      <c r="L43" s="13"/>
      <c r="M43" s="20"/>
      <c r="N43" s="20"/>
    </row>
    <row r="44" spans="3:14" x14ac:dyDescent="0.25">
      <c r="C44" s="8">
        <f>ROW()</f>
        <v>44</v>
      </c>
      <c r="D44" s="12"/>
      <c r="E44" s="9"/>
      <c r="F44" s="19"/>
      <c r="G44" s="9"/>
      <c r="H44" s="9"/>
      <c r="I44" s="19"/>
      <c r="J44" s="10"/>
      <c r="K44" s="11"/>
      <c r="L44" s="13"/>
      <c r="M44" s="20"/>
      <c r="N44" s="20"/>
    </row>
    <row r="45" spans="3:14" x14ac:dyDescent="0.25">
      <c r="C45" s="8">
        <f>ROW()</f>
        <v>45</v>
      </c>
      <c r="D45" s="12"/>
      <c r="E45" s="9"/>
      <c r="F45" s="19"/>
      <c r="G45" s="9"/>
      <c r="H45" s="9"/>
      <c r="I45" s="19"/>
      <c r="J45" s="10"/>
      <c r="K45" s="11"/>
      <c r="L45" s="13"/>
      <c r="M45" s="20"/>
      <c r="N45" s="20"/>
    </row>
    <row r="46" spans="3:14" x14ac:dyDescent="0.25">
      <c r="C46" s="8">
        <f>ROW()</f>
        <v>46</v>
      </c>
      <c r="D46" s="12"/>
      <c r="E46" s="9"/>
      <c r="F46" s="19"/>
      <c r="G46" s="9"/>
      <c r="H46" s="9"/>
      <c r="I46" s="19"/>
      <c r="J46" s="10"/>
      <c r="K46" s="11"/>
      <c r="L46" s="13"/>
      <c r="M46" s="20"/>
      <c r="N46" s="20"/>
    </row>
    <row r="47" spans="3:14" x14ac:dyDescent="0.25">
      <c r="C47" s="8">
        <f>ROW()</f>
        <v>47</v>
      </c>
      <c r="D47" s="12"/>
      <c r="E47" s="9"/>
      <c r="F47" s="19"/>
      <c r="G47" s="9"/>
      <c r="H47" s="9"/>
      <c r="I47" s="19"/>
      <c r="J47" s="10"/>
      <c r="K47" s="11"/>
      <c r="L47" s="13"/>
      <c r="M47" s="20"/>
      <c r="N47" s="20"/>
    </row>
    <row r="48" spans="3:14" x14ac:dyDescent="0.25">
      <c r="C48" s="8">
        <f>ROW()</f>
        <v>48</v>
      </c>
      <c r="D48" s="12"/>
      <c r="E48" s="9"/>
      <c r="F48" s="19"/>
      <c r="G48" s="9"/>
      <c r="H48" s="9"/>
      <c r="I48" s="19"/>
      <c r="J48" s="10"/>
      <c r="K48" s="11"/>
      <c r="L48" s="13"/>
      <c r="M48" s="20"/>
      <c r="N48" s="20"/>
    </row>
    <row r="49" spans="3:14" x14ac:dyDescent="0.25">
      <c r="C49" s="8">
        <f>ROW()</f>
        <v>49</v>
      </c>
      <c r="D49" s="12"/>
      <c r="E49" s="9"/>
      <c r="F49" s="19"/>
      <c r="G49" s="9"/>
      <c r="H49" s="9"/>
      <c r="I49" s="19"/>
      <c r="J49" s="10"/>
      <c r="K49" s="11"/>
      <c r="L49" s="13"/>
      <c r="M49" s="20"/>
      <c r="N49" s="20"/>
    </row>
    <row r="50" spans="3:14" x14ac:dyDescent="0.25">
      <c r="C50" s="8">
        <f>ROW()</f>
        <v>50</v>
      </c>
      <c r="D50" s="12"/>
      <c r="E50" s="9"/>
      <c r="F50" s="19"/>
      <c r="G50" s="9"/>
      <c r="H50" s="9"/>
      <c r="I50" s="19"/>
      <c r="J50" s="10"/>
      <c r="K50" s="11"/>
      <c r="L50" s="13"/>
      <c r="M50" s="20"/>
      <c r="N50" s="20"/>
    </row>
    <row r="51" spans="3:14" x14ac:dyDescent="0.25">
      <c r="C51" s="8">
        <f>ROW()</f>
        <v>51</v>
      </c>
      <c r="D51" s="12"/>
      <c r="E51" s="9"/>
      <c r="F51" s="19"/>
      <c r="G51" s="9"/>
      <c r="H51" s="9"/>
      <c r="I51" s="19"/>
      <c r="J51" s="10"/>
      <c r="K51" s="11"/>
      <c r="L51" s="13"/>
      <c r="M51" s="20"/>
      <c r="N51" s="20"/>
    </row>
    <row r="52" spans="3:14" x14ac:dyDescent="0.25">
      <c r="C52" s="8">
        <f>ROW()</f>
        <v>52</v>
      </c>
      <c r="D52" s="12"/>
      <c r="E52" s="9"/>
      <c r="F52" s="19"/>
      <c r="G52" s="9"/>
      <c r="H52" s="9"/>
      <c r="I52" s="19"/>
      <c r="J52" s="10"/>
      <c r="K52" s="11"/>
      <c r="L52" s="13"/>
      <c r="M52" s="20"/>
      <c r="N52" s="20"/>
    </row>
    <row r="53" spans="3:14" x14ac:dyDescent="0.25">
      <c r="C53" s="8">
        <f>ROW()</f>
        <v>53</v>
      </c>
      <c r="D53" s="12"/>
      <c r="E53" s="9"/>
      <c r="F53" s="19"/>
      <c r="G53" s="9"/>
      <c r="H53" s="9"/>
      <c r="I53" s="19"/>
      <c r="J53" s="10"/>
      <c r="K53" s="11"/>
      <c r="L53" s="13"/>
      <c r="M53" s="20"/>
      <c r="N53" s="20"/>
    </row>
    <row r="54" spans="3:14" x14ac:dyDescent="0.25">
      <c r="C54" s="8">
        <f>ROW()</f>
        <v>54</v>
      </c>
      <c r="D54" s="12"/>
      <c r="E54" s="9"/>
      <c r="F54" s="19"/>
      <c r="G54" s="9"/>
      <c r="H54" s="9"/>
      <c r="I54" s="19"/>
      <c r="J54" s="10"/>
      <c r="K54" s="11"/>
      <c r="L54" s="13"/>
      <c r="M54" s="20"/>
      <c r="N54" s="20"/>
    </row>
    <row r="55" spans="3:14" x14ac:dyDescent="0.25">
      <c r="C55" s="8">
        <f>ROW()</f>
        <v>55</v>
      </c>
      <c r="D55" s="12"/>
      <c r="E55" s="9"/>
      <c r="F55" s="19"/>
      <c r="G55" s="9"/>
      <c r="H55" s="9"/>
      <c r="I55" s="19"/>
      <c r="J55" s="10"/>
      <c r="K55" s="11"/>
      <c r="L55" s="13"/>
      <c r="M55" s="20"/>
      <c r="N55" s="20"/>
    </row>
    <row r="56" spans="3:14" x14ac:dyDescent="0.25">
      <c r="C56" s="8">
        <f>ROW()</f>
        <v>56</v>
      </c>
      <c r="D56" s="12"/>
      <c r="E56" s="9"/>
      <c r="F56" s="19"/>
      <c r="G56" s="9"/>
      <c r="H56" s="9"/>
      <c r="I56" s="19"/>
      <c r="J56" s="10"/>
      <c r="K56" s="11"/>
      <c r="L56" s="13"/>
      <c r="M56" s="20"/>
      <c r="N56" s="20"/>
    </row>
    <row r="57" spans="3:14" x14ac:dyDescent="0.25">
      <c r="C57" s="8">
        <f>ROW()</f>
        <v>57</v>
      </c>
      <c r="D57" s="12"/>
      <c r="E57" s="9"/>
      <c r="F57" s="19"/>
      <c r="G57" s="9"/>
      <c r="H57" s="9"/>
      <c r="I57" s="19"/>
      <c r="J57" s="10"/>
      <c r="K57" s="11"/>
      <c r="L57" s="13"/>
      <c r="M57" s="20"/>
      <c r="N57" s="20"/>
    </row>
    <row r="58" spans="3:14" x14ac:dyDescent="0.25">
      <c r="C58" s="8">
        <f>ROW()</f>
        <v>58</v>
      </c>
      <c r="D58" s="12"/>
      <c r="E58" s="9"/>
      <c r="F58" s="19"/>
      <c r="G58" s="9"/>
      <c r="H58" s="9"/>
      <c r="I58" s="19"/>
      <c r="J58" s="10"/>
      <c r="K58" s="11"/>
      <c r="L58" s="13"/>
      <c r="M58" s="20"/>
      <c r="N58" s="20"/>
    </row>
    <row r="59" spans="3:14" x14ac:dyDescent="0.25">
      <c r="C59" s="8">
        <f>ROW()</f>
        <v>59</v>
      </c>
      <c r="D59" s="12"/>
      <c r="E59" s="9"/>
      <c r="F59" s="19"/>
      <c r="G59" s="9"/>
      <c r="H59" s="9"/>
      <c r="I59" s="19"/>
      <c r="J59" s="10"/>
      <c r="K59" s="11"/>
      <c r="L59" s="13"/>
      <c r="M59" s="20"/>
      <c r="N59" s="20"/>
    </row>
    <row r="60" spans="3:14" x14ac:dyDescent="0.25">
      <c r="C60" s="8">
        <f>ROW()</f>
        <v>60</v>
      </c>
      <c r="D60" s="12"/>
      <c r="E60" s="9"/>
      <c r="F60" s="19"/>
      <c r="G60" s="9"/>
      <c r="H60" s="9"/>
      <c r="I60" s="19"/>
      <c r="J60" s="10"/>
      <c r="K60" s="11"/>
      <c r="L60" s="13"/>
      <c r="M60" s="20"/>
      <c r="N60" s="20"/>
    </row>
    <row r="61" spans="3:14" x14ac:dyDescent="0.25">
      <c r="C61" s="8">
        <f>ROW()</f>
        <v>61</v>
      </c>
      <c r="D61" s="12"/>
      <c r="E61" s="9"/>
      <c r="F61" s="19"/>
      <c r="G61" s="9"/>
      <c r="H61" s="9"/>
      <c r="I61" s="19"/>
      <c r="J61" s="10"/>
      <c r="K61" s="11"/>
      <c r="L61" s="13"/>
      <c r="M61" s="20"/>
      <c r="N61" s="20"/>
    </row>
    <row r="62" spans="3:14" x14ac:dyDescent="0.25">
      <c r="C62" s="8">
        <f>ROW()</f>
        <v>62</v>
      </c>
      <c r="D62" s="12"/>
      <c r="E62" s="9"/>
      <c r="F62" s="19"/>
      <c r="G62" s="9"/>
      <c r="H62" s="9"/>
      <c r="I62" s="19"/>
      <c r="J62" s="10"/>
      <c r="K62" s="11"/>
      <c r="L62" s="13"/>
      <c r="M62" s="20"/>
      <c r="N62" s="20"/>
    </row>
    <row r="63" spans="3:14" x14ac:dyDescent="0.25">
      <c r="C63" s="8">
        <f>ROW()</f>
        <v>63</v>
      </c>
      <c r="D63" s="12"/>
      <c r="E63" s="9"/>
      <c r="F63" s="19"/>
      <c r="G63" s="9"/>
      <c r="H63" s="9"/>
      <c r="I63" s="19"/>
      <c r="J63" s="10"/>
      <c r="K63" s="11"/>
      <c r="L63" s="13"/>
      <c r="M63" s="20"/>
      <c r="N63" s="20"/>
    </row>
    <row r="64" spans="3:14" x14ac:dyDescent="0.25">
      <c r="C64" s="8">
        <f>ROW()</f>
        <v>64</v>
      </c>
      <c r="D64" s="12"/>
      <c r="E64" s="9"/>
      <c r="F64" s="19"/>
      <c r="G64" s="9"/>
      <c r="H64" s="9"/>
      <c r="I64" s="19"/>
      <c r="J64" s="10"/>
      <c r="K64" s="11"/>
      <c r="L64" s="13"/>
      <c r="M64" s="20"/>
      <c r="N64" s="20"/>
    </row>
    <row r="65" spans="3:14" x14ac:dyDescent="0.25">
      <c r="C65" s="8">
        <f>ROW()</f>
        <v>65</v>
      </c>
      <c r="D65" s="12"/>
      <c r="E65" s="9"/>
      <c r="F65" s="19"/>
      <c r="G65" s="9"/>
      <c r="H65" s="9"/>
      <c r="I65" s="19"/>
      <c r="J65" s="10"/>
      <c r="K65" s="11"/>
      <c r="L65" s="13"/>
      <c r="M65" s="20"/>
      <c r="N65" s="20"/>
    </row>
    <row r="66" spans="3:14" x14ac:dyDescent="0.25">
      <c r="C66" s="8">
        <f>ROW()</f>
        <v>66</v>
      </c>
      <c r="D66" s="12"/>
      <c r="E66" s="9"/>
      <c r="F66" s="19"/>
      <c r="G66" s="9"/>
      <c r="H66" s="9"/>
      <c r="I66" s="19"/>
      <c r="J66" s="10"/>
      <c r="K66" s="11"/>
      <c r="L66" s="13"/>
      <c r="M66" s="20"/>
      <c r="N66" s="20"/>
    </row>
    <row r="67" spans="3:14" x14ac:dyDescent="0.25">
      <c r="C67" s="8">
        <f>ROW()</f>
        <v>67</v>
      </c>
      <c r="D67" s="12"/>
      <c r="E67" s="9"/>
      <c r="F67" s="19"/>
      <c r="G67" s="9"/>
      <c r="H67" s="9"/>
      <c r="I67" s="19"/>
      <c r="J67" s="10"/>
      <c r="K67" s="11"/>
      <c r="L67" s="13"/>
      <c r="M67" s="20"/>
      <c r="N67" s="20"/>
    </row>
    <row r="68" spans="3:14" x14ac:dyDescent="0.25">
      <c r="C68" s="8">
        <f>ROW()</f>
        <v>68</v>
      </c>
      <c r="D68" s="12"/>
      <c r="E68" s="9"/>
      <c r="F68" s="19"/>
      <c r="G68" s="9"/>
      <c r="H68" s="9"/>
      <c r="I68" s="19"/>
      <c r="J68" s="10"/>
      <c r="K68" s="11"/>
      <c r="L68" s="13"/>
      <c r="M68" s="20"/>
      <c r="N68" s="20"/>
    </row>
    <row r="69" spans="3:14" x14ac:dyDescent="0.25">
      <c r="C69" s="8">
        <f>ROW()</f>
        <v>69</v>
      </c>
      <c r="D69" s="12"/>
      <c r="E69" s="9"/>
      <c r="F69" s="19"/>
      <c r="G69" s="9"/>
      <c r="H69" s="9"/>
      <c r="I69" s="19"/>
      <c r="J69" s="10"/>
      <c r="K69" s="11"/>
      <c r="L69" s="13"/>
      <c r="M69" s="20"/>
      <c r="N69" s="20"/>
    </row>
    <row r="70" spans="3:14" x14ac:dyDescent="0.25">
      <c r="C70" s="8">
        <f>ROW()</f>
        <v>70</v>
      </c>
      <c r="D70" s="12"/>
      <c r="E70" s="9"/>
      <c r="F70" s="19"/>
      <c r="G70" s="9"/>
      <c r="H70" s="9"/>
      <c r="I70" s="19"/>
      <c r="J70" s="10"/>
      <c r="K70" s="11"/>
      <c r="L70" s="13"/>
      <c r="M70" s="20"/>
      <c r="N70" s="20"/>
    </row>
    <row r="71" spans="3:14" x14ac:dyDescent="0.25">
      <c r="C71" s="8">
        <f>ROW()</f>
        <v>71</v>
      </c>
      <c r="D71" s="12"/>
      <c r="E71" s="9"/>
      <c r="F71" s="19"/>
      <c r="G71" s="9"/>
      <c r="H71" s="9"/>
      <c r="I71" s="19"/>
      <c r="J71" s="10"/>
      <c r="K71" s="11"/>
      <c r="L71" s="13"/>
      <c r="M71" s="20"/>
      <c r="N71" s="20"/>
    </row>
    <row r="72" spans="3:14" x14ac:dyDescent="0.25">
      <c r="C72" s="8">
        <f>ROW()</f>
        <v>72</v>
      </c>
      <c r="D72" s="12"/>
      <c r="E72" s="9"/>
      <c r="F72" s="19"/>
      <c r="G72" s="9"/>
      <c r="H72" s="9"/>
      <c r="I72" s="19"/>
      <c r="J72" s="10"/>
      <c r="K72" s="11"/>
      <c r="L72" s="13"/>
      <c r="M72" s="20"/>
      <c r="N72" s="20"/>
    </row>
    <row r="73" spans="3:14" x14ac:dyDescent="0.25">
      <c r="C73" s="8">
        <f>ROW()</f>
        <v>73</v>
      </c>
      <c r="D73" s="12"/>
      <c r="E73" s="9"/>
      <c r="F73" s="19"/>
      <c r="G73" s="9"/>
      <c r="H73" s="9"/>
      <c r="I73" s="19"/>
      <c r="J73" s="10"/>
      <c r="K73" s="11"/>
      <c r="L73" s="13"/>
      <c r="M73" s="20"/>
      <c r="N73" s="20"/>
    </row>
    <row r="74" spans="3:14" x14ac:dyDescent="0.25">
      <c r="C74" s="8">
        <f>ROW()</f>
        <v>74</v>
      </c>
      <c r="D74" s="12"/>
      <c r="E74" s="9"/>
      <c r="F74" s="19"/>
      <c r="G74" s="9"/>
      <c r="H74" s="9"/>
      <c r="I74" s="19"/>
      <c r="J74" s="10"/>
      <c r="K74" s="11"/>
      <c r="L74" s="13"/>
      <c r="M74" s="20"/>
      <c r="N74" s="20"/>
    </row>
    <row r="75" spans="3:14" x14ac:dyDescent="0.25">
      <c r="C75" s="8">
        <f>ROW()</f>
        <v>75</v>
      </c>
      <c r="D75" s="12"/>
      <c r="E75" s="9"/>
      <c r="F75" s="19"/>
      <c r="G75" s="9"/>
      <c r="H75" s="9"/>
      <c r="I75" s="19"/>
      <c r="J75" s="10"/>
      <c r="K75" s="11"/>
      <c r="L75" s="13"/>
      <c r="M75" s="20"/>
      <c r="N75" s="20"/>
    </row>
    <row r="76" spans="3:14" x14ac:dyDescent="0.25">
      <c r="C76" s="8">
        <f>ROW()</f>
        <v>76</v>
      </c>
      <c r="D76" s="12"/>
      <c r="E76" s="9"/>
      <c r="F76" s="19"/>
      <c r="G76" s="9"/>
      <c r="H76" s="9"/>
      <c r="I76" s="19"/>
      <c r="J76" s="10"/>
      <c r="K76" s="11"/>
      <c r="L76" s="13"/>
      <c r="M76" s="20"/>
      <c r="N76" s="20"/>
    </row>
    <row r="77" spans="3:14" x14ac:dyDescent="0.25">
      <c r="C77" s="8">
        <f>ROW()</f>
        <v>77</v>
      </c>
      <c r="D77" s="12"/>
      <c r="E77" s="9"/>
      <c r="F77" s="19"/>
      <c r="G77" s="9"/>
      <c r="H77" s="9"/>
      <c r="I77" s="19"/>
      <c r="J77" s="10"/>
      <c r="K77" s="11"/>
      <c r="L77" s="13"/>
      <c r="M77" s="20"/>
      <c r="N77" s="20"/>
    </row>
    <row r="78" spans="3:14" x14ac:dyDescent="0.25">
      <c r="C78" s="8">
        <f>ROW()</f>
        <v>78</v>
      </c>
      <c r="D78" s="12"/>
      <c r="E78" s="9"/>
      <c r="F78" s="19"/>
      <c r="G78" s="9"/>
      <c r="H78" s="9"/>
      <c r="I78" s="19"/>
      <c r="J78" s="10"/>
      <c r="K78" s="11"/>
      <c r="L78" s="13"/>
      <c r="M78" s="20"/>
      <c r="N78" s="20"/>
    </row>
    <row r="79" spans="3:14" x14ac:dyDescent="0.25">
      <c r="C79" s="8">
        <f>ROW()</f>
        <v>79</v>
      </c>
      <c r="D79" s="12"/>
      <c r="E79" s="9"/>
      <c r="F79" s="19"/>
      <c r="G79" s="9"/>
      <c r="H79" s="9"/>
      <c r="I79" s="19"/>
      <c r="J79" s="10"/>
      <c r="K79" s="11"/>
      <c r="L79" s="13"/>
      <c r="M79" s="20"/>
      <c r="N79" s="20"/>
    </row>
    <row r="80" spans="3:14" x14ac:dyDescent="0.25">
      <c r="C80" s="8">
        <f>ROW()</f>
        <v>80</v>
      </c>
      <c r="D80" s="12"/>
      <c r="E80" s="9"/>
      <c r="F80" s="19"/>
      <c r="G80" s="9"/>
      <c r="H80" s="9"/>
      <c r="I80" s="19"/>
      <c r="J80" s="10"/>
      <c r="K80" s="11"/>
      <c r="L80" s="13"/>
      <c r="M80" s="20"/>
      <c r="N80" s="20"/>
    </row>
    <row r="81" spans="3:14" x14ac:dyDescent="0.25">
      <c r="C81" s="8">
        <f>ROW()</f>
        <v>81</v>
      </c>
      <c r="D81" s="12"/>
      <c r="E81" s="9"/>
      <c r="F81" s="19"/>
      <c r="G81" s="9"/>
      <c r="H81" s="9"/>
      <c r="I81" s="19"/>
      <c r="J81" s="10"/>
      <c r="K81" s="11"/>
      <c r="L81" s="13"/>
      <c r="M81" s="20"/>
      <c r="N81" s="20"/>
    </row>
    <row r="82" spans="3:14" x14ac:dyDescent="0.25">
      <c r="C82" s="8">
        <f>ROW()</f>
        <v>82</v>
      </c>
      <c r="D82" s="12"/>
      <c r="E82" s="9"/>
      <c r="F82" s="19"/>
      <c r="G82" s="9"/>
      <c r="H82" s="9"/>
      <c r="I82" s="19"/>
      <c r="J82" s="10"/>
      <c r="K82" s="11"/>
      <c r="L82" s="13"/>
      <c r="M82" s="20"/>
      <c r="N82" s="20"/>
    </row>
    <row r="83" spans="3:14" x14ac:dyDescent="0.25">
      <c r="C83" s="8">
        <f>ROW()</f>
        <v>83</v>
      </c>
      <c r="D83" s="12"/>
      <c r="E83" s="9"/>
      <c r="F83" s="19"/>
      <c r="G83" s="9"/>
      <c r="H83" s="9"/>
      <c r="I83" s="19"/>
      <c r="J83" s="10"/>
      <c r="K83" s="11"/>
      <c r="L83" s="13"/>
      <c r="M83" s="20"/>
      <c r="N83" s="20"/>
    </row>
    <row r="84" spans="3:14" x14ac:dyDescent="0.25">
      <c r="C84" s="8">
        <f>ROW()</f>
        <v>84</v>
      </c>
      <c r="D84" s="12"/>
      <c r="E84" s="9"/>
      <c r="F84" s="19"/>
      <c r="G84" s="9"/>
      <c r="H84" s="9"/>
      <c r="I84" s="19"/>
      <c r="J84" s="10"/>
      <c r="K84" s="11"/>
      <c r="L84" s="13"/>
      <c r="M84" s="20"/>
      <c r="N84" s="20"/>
    </row>
    <row r="85" spans="3:14" x14ac:dyDescent="0.25">
      <c r="C85" s="8">
        <f>ROW()</f>
        <v>85</v>
      </c>
      <c r="D85" s="12"/>
      <c r="E85" s="9"/>
      <c r="F85" s="19"/>
      <c r="G85" s="9"/>
      <c r="H85" s="9"/>
      <c r="I85" s="19"/>
      <c r="J85" s="10"/>
      <c r="K85" s="11"/>
      <c r="L85" s="13"/>
      <c r="M85" s="20"/>
      <c r="N85" s="20"/>
    </row>
    <row r="86" spans="3:14" x14ac:dyDescent="0.25">
      <c r="C86" s="8">
        <f>ROW()</f>
        <v>86</v>
      </c>
      <c r="D86" s="12"/>
      <c r="E86" s="9"/>
      <c r="F86" s="19"/>
      <c r="G86" s="9"/>
      <c r="H86" s="9"/>
      <c r="I86" s="19"/>
      <c r="J86" s="10"/>
      <c r="K86" s="11"/>
      <c r="L86" s="13"/>
      <c r="M86" s="20"/>
      <c r="N86" s="20"/>
    </row>
    <row r="87" spans="3:14" x14ac:dyDescent="0.25">
      <c r="C87" s="8">
        <f>ROW()</f>
        <v>87</v>
      </c>
      <c r="D87" s="12"/>
      <c r="E87" s="9"/>
      <c r="F87" s="19"/>
      <c r="G87" s="9"/>
      <c r="H87" s="9"/>
      <c r="I87" s="19"/>
      <c r="J87" s="10"/>
      <c r="K87" s="11"/>
      <c r="L87" s="13"/>
      <c r="M87" s="20"/>
      <c r="N87" s="20"/>
    </row>
    <row r="88" spans="3:14" x14ac:dyDescent="0.25">
      <c r="C88" s="8">
        <f>ROW()</f>
        <v>88</v>
      </c>
      <c r="D88" s="12"/>
      <c r="E88" s="9"/>
      <c r="F88" s="19"/>
      <c r="G88" s="9"/>
      <c r="H88" s="9"/>
      <c r="I88" s="19"/>
      <c r="J88" s="10"/>
      <c r="K88" s="11"/>
      <c r="L88" s="13"/>
      <c r="M88" s="20"/>
      <c r="N88" s="20"/>
    </row>
    <row r="89" spans="3:14" x14ac:dyDescent="0.25">
      <c r="C89" s="8">
        <f>ROW()</f>
        <v>89</v>
      </c>
      <c r="D89" s="12"/>
      <c r="E89" s="9"/>
      <c r="F89" s="19"/>
      <c r="G89" s="9"/>
      <c r="H89" s="9"/>
      <c r="I89" s="19"/>
      <c r="J89" s="10"/>
      <c r="K89" s="11"/>
      <c r="L89" s="13"/>
      <c r="M89" s="20"/>
      <c r="N89" s="20"/>
    </row>
    <row r="90" spans="3:14" x14ac:dyDescent="0.25">
      <c r="C90" s="8">
        <f>ROW()</f>
        <v>90</v>
      </c>
      <c r="D90" s="12"/>
      <c r="E90" s="9"/>
      <c r="F90" s="19"/>
      <c r="G90" s="9"/>
      <c r="H90" s="9"/>
      <c r="I90" s="19"/>
      <c r="J90" s="10"/>
      <c r="K90" s="11"/>
      <c r="L90" s="13"/>
      <c r="M90" s="20"/>
      <c r="N90" s="20"/>
    </row>
    <row r="91" spans="3:14" x14ac:dyDescent="0.25">
      <c r="C91" s="8">
        <f>ROW()</f>
        <v>91</v>
      </c>
      <c r="D91" s="12"/>
      <c r="E91" s="9"/>
      <c r="F91" s="19"/>
      <c r="G91" s="9"/>
      <c r="H91" s="9"/>
      <c r="I91" s="19"/>
      <c r="J91" s="10"/>
      <c r="K91" s="11"/>
      <c r="L91" s="13"/>
      <c r="M91" s="20"/>
      <c r="N91" s="20"/>
    </row>
    <row r="92" spans="3:14" x14ac:dyDescent="0.25">
      <c r="C92" s="8">
        <f>ROW()</f>
        <v>92</v>
      </c>
      <c r="D92" s="12"/>
      <c r="E92" s="9"/>
      <c r="F92" s="19"/>
      <c r="G92" s="9"/>
      <c r="H92" s="9"/>
      <c r="I92" s="19"/>
      <c r="J92" s="10"/>
      <c r="K92" s="11"/>
      <c r="L92" s="13"/>
      <c r="M92" s="20"/>
      <c r="N92" s="20"/>
    </row>
    <row r="93" spans="3:14" x14ac:dyDescent="0.25">
      <c r="C93" s="8">
        <f>ROW()</f>
        <v>93</v>
      </c>
      <c r="D93" s="12"/>
      <c r="E93" s="9"/>
      <c r="F93" s="19"/>
      <c r="G93" s="9"/>
      <c r="H93" s="9"/>
      <c r="I93" s="19"/>
      <c r="J93" s="10"/>
      <c r="K93" s="11"/>
      <c r="L93" s="13"/>
      <c r="M93" s="20"/>
      <c r="N93" s="20"/>
    </row>
    <row r="94" spans="3:14" x14ac:dyDescent="0.25">
      <c r="C94" s="8">
        <f>ROW()</f>
        <v>94</v>
      </c>
      <c r="D94" s="12"/>
      <c r="E94" s="9"/>
      <c r="F94" s="19"/>
      <c r="G94" s="9"/>
      <c r="H94" s="9"/>
      <c r="I94" s="19"/>
      <c r="J94" s="10"/>
      <c r="K94" s="11"/>
      <c r="L94" s="13"/>
      <c r="M94" s="20"/>
      <c r="N94" s="20"/>
    </row>
    <row r="95" spans="3:14" x14ac:dyDescent="0.25">
      <c r="C95" s="8">
        <f>ROW()</f>
        <v>95</v>
      </c>
      <c r="D95" s="12"/>
      <c r="E95" s="9"/>
      <c r="F95" s="19"/>
      <c r="G95" s="9"/>
      <c r="H95" s="9"/>
      <c r="I95" s="19"/>
      <c r="J95" s="10"/>
      <c r="K95" s="11"/>
      <c r="L95" s="13"/>
      <c r="M95" s="20"/>
      <c r="N95" s="20"/>
    </row>
    <row r="96" spans="3:14" x14ac:dyDescent="0.25">
      <c r="C96" s="8">
        <f>ROW()</f>
        <v>96</v>
      </c>
      <c r="D96" s="12"/>
      <c r="E96" s="9"/>
      <c r="F96" s="19"/>
      <c r="G96" s="9"/>
      <c r="H96" s="9"/>
      <c r="I96" s="19"/>
      <c r="J96" s="10"/>
      <c r="K96" s="11"/>
      <c r="L96" s="13"/>
      <c r="M96" s="20"/>
      <c r="N96" s="20"/>
    </row>
    <row r="97" spans="3:14" x14ac:dyDescent="0.25">
      <c r="C97" s="8">
        <f>ROW()</f>
        <v>97</v>
      </c>
      <c r="D97" s="12"/>
      <c r="E97" s="9"/>
      <c r="F97" s="19"/>
      <c r="G97" s="9"/>
      <c r="H97" s="9"/>
      <c r="I97" s="19"/>
      <c r="J97" s="10"/>
      <c r="K97" s="11"/>
      <c r="L97" s="13"/>
      <c r="M97" s="20"/>
      <c r="N97" s="20"/>
    </row>
    <row r="98" spans="3:14" x14ac:dyDescent="0.25">
      <c r="C98" s="8">
        <f>ROW()</f>
        <v>98</v>
      </c>
      <c r="D98" s="12"/>
      <c r="E98" s="9"/>
      <c r="F98" s="19"/>
      <c r="G98" s="9"/>
      <c r="H98" s="9"/>
      <c r="I98" s="19"/>
      <c r="J98" s="10"/>
      <c r="K98" s="11"/>
      <c r="L98" s="13"/>
      <c r="M98" s="20"/>
      <c r="N98" s="20"/>
    </row>
    <row r="99" spans="3:14" x14ac:dyDescent="0.25">
      <c r="C99" s="8">
        <f>ROW()</f>
        <v>99</v>
      </c>
      <c r="D99" s="12"/>
      <c r="E99" s="9"/>
      <c r="F99" s="19"/>
      <c r="G99" s="9"/>
      <c r="H99" s="9"/>
      <c r="I99" s="19"/>
      <c r="J99" s="10"/>
      <c r="K99" s="11"/>
      <c r="L99" s="13"/>
      <c r="M99" s="20"/>
      <c r="N99" s="20"/>
    </row>
    <row r="100" spans="3:14" x14ac:dyDescent="0.25">
      <c r="C100" s="8">
        <f>ROW()</f>
        <v>100</v>
      </c>
      <c r="D100" s="12"/>
      <c r="E100" s="9"/>
      <c r="F100" s="19"/>
      <c r="G100" s="9"/>
      <c r="H100" s="9"/>
      <c r="I100" s="19"/>
      <c r="J100" s="10"/>
      <c r="K100" s="11"/>
      <c r="L100" s="13"/>
      <c r="M100" s="20"/>
      <c r="N100" s="20"/>
    </row>
    <row r="101" spans="3:14" x14ac:dyDescent="0.25">
      <c r="C101" s="8">
        <f>ROW()</f>
        <v>101</v>
      </c>
      <c r="D101" s="12"/>
      <c r="E101" s="9"/>
      <c r="F101" s="19"/>
      <c r="G101" s="9"/>
      <c r="H101" s="9"/>
      <c r="I101" s="19"/>
      <c r="J101" s="10"/>
      <c r="K101" s="11"/>
      <c r="L101" s="13"/>
      <c r="M101" s="20"/>
      <c r="N101" s="20"/>
    </row>
    <row r="102" spans="3:14" x14ac:dyDescent="0.25">
      <c r="C102" s="8">
        <f>ROW()</f>
        <v>102</v>
      </c>
      <c r="D102" s="12"/>
      <c r="E102" s="9"/>
      <c r="F102" s="19"/>
      <c r="G102" s="9"/>
      <c r="H102" s="9"/>
      <c r="I102" s="19"/>
      <c r="J102" s="10"/>
      <c r="K102" s="11"/>
      <c r="L102" s="13"/>
      <c r="M102" s="20"/>
      <c r="N102" s="20"/>
    </row>
    <row r="103" spans="3:14" x14ac:dyDescent="0.25">
      <c r="C103" s="8">
        <f>ROW()</f>
        <v>103</v>
      </c>
      <c r="D103" s="12"/>
      <c r="E103" s="9"/>
      <c r="F103" s="19"/>
      <c r="G103" s="9"/>
      <c r="H103" s="9"/>
      <c r="I103" s="19"/>
      <c r="J103" s="10"/>
      <c r="K103" s="11"/>
      <c r="L103" s="13"/>
      <c r="M103" s="20"/>
      <c r="N103" s="20"/>
    </row>
    <row r="104" spans="3:14" x14ac:dyDescent="0.25">
      <c r="C104" s="8">
        <f>ROW()</f>
        <v>104</v>
      </c>
      <c r="D104" s="12"/>
      <c r="E104" s="9"/>
      <c r="F104" s="19"/>
      <c r="G104" s="9"/>
      <c r="H104" s="9"/>
      <c r="I104" s="19"/>
      <c r="J104" s="10"/>
      <c r="K104" s="11"/>
      <c r="L104" s="13"/>
      <c r="M104" s="20"/>
      <c r="N104" s="20"/>
    </row>
    <row r="105" spans="3:14" x14ac:dyDescent="0.25">
      <c r="C105" s="8">
        <f>ROW()</f>
        <v>105</v>
      </c>
      <c r="D105" s="12"/>
      <c r="E105" s="9"/>
      <c r="F105" s="19"/>
      <c r="G105" s="9"/>
      <c r="H105" s="9"/>
      <c r="I105" s="19"/>
      <c r="J105" s="10"/>
      <c r="K105" s="11"/>
      <c r="L105" s="13"/>
      <c r="M105" s="20"/>
      <c r="N105" s="20"/>
    </row>
    <row r="106" spans="3:14" x14ac:dyDescent="0.25">
      <c r="C106" s="8">
        <f>ROW()</f>
        <v>106</v>
      </c>
      <c r="D106" s="12"/>
      <c r="E106" s="9"/>
      <c r="F106" s="19"/>
      <c r="G106" s="9"/>
      <c r="H106" s="9"/>
      <c r="I106" s="19"/>
      <c r="J106" s="10"/>
      <c r="K106" s="11"/>
      <c r="L106" s="13"/>
      <c r="M106" s="20"/>
      <c r="N106" s="20"/>
    </row>
    <row r="107" spans="3:14" x14ac:dyDescent="0.25">
      <c r="C107" s="8">
        <f>ROW()</f>
        <v>107</v>
      </c>
      <c r="D107" s="12"/>
      <c r="E107" s="9"/>
      <c r="F107" s="19"/>
      <c r="G107" s="9"/>
      <c r="H107" s="9"/>
      <c r="I107" s="19"/>
      <c r="J107" s="10"/>
      <c r="K107" s="11"/>
      <c r="L107" s="13"/>
      <c r="M107" s="20"/>
      <c r="N107" s="20"/>
    </row>
    <row r="108" spans="3:14" x14ac:dyDescent="0.25">
      <c r="C108" s="8">
        <f>ROW()</f>
        <v>108</v>
      </c>
      <c r="D108" s="12"/>
      <c r="E108" s="9"/>
      <c r="F108" s="19"/>
      <c r="G108" s="9"/>
      <c r="H108" s="9"/>
      <c r="I108" s="19"/>
      <c r="J108" s="10"/>
      <c r="K108" s="11"/>
      <c r="L108" s="13"/>
      <c r="M108" s="20"/>
      <c r="N108" s="20"/>
    </row>
    <row r="109" spans="3:14" x14ac:dyDescent="0.25">
      <c r="C109" s="8">
        <f>ROW()</f>
        <v>109</v>
      </c>
      <c r="D109" s="12"/>
      <c r="E109" s="9"/>
      <c r="F109" s="19"/>
      <c r="G109" s="9"/>
      <c r="H109" s="9"/>
      <c r="I109" s="19"/>
      <c r="J109" s="10"/>
      <c r="K109" s="11"/>
      <c r="L109" s="13"/>
      <c r="M109" s="20"/>
      <c r="N109" s="20"/>
    </row>
    <row r="110" spans="3:14" x14ac:dyDescent="0.25">
      <c r="C110" s="8">
        <f>ROW()</f>
        <v>110</v>
      </c>
      <c r="D110" s="12"/>
      <c r="E110" s="9"/>
      <c r="F110" s="19"/>
      <c r="G110" s="9"/>
      <c r="H110" s="9"/>
      <c r="I110" s="19"/>
      <c r="J110" s="10"/>
      <c r="K110" s="11"/>
      <c r="L110" s="13"/>
      <c r="M110" s="20"/>
      <c r="N110" s="20"/>
    </row>
    <row r="111" spans="3:14" x14ac:dyDescent="0.25">
      <c r="C111" s="8">
        <f>ROW()</f>
        <v>111</v>
      </c>
      <c r="D111" s="12"/>
      <c r="E111" s="9"/>
      <c r="F111" s="19"/>
      <c r="G111" s="9"/>
      <c r="H111" s="9"/>
      <c r="I111" s="19"/>
      <c r="J111" s="10"/>
      <c r="K111" s="11"/>
      <c r="L111" s="13"/>
      <c r="M111" s="20"/>
      <c r="N111" s="20"/>
    </row>
    <row r="112" spans="3:14" x14ac:dyDescent="0.25">
      <c r="C112" s="8">
        <f>ROW()</f>
        <v>112</v>
      </c>
      <c r="D112" s="12"/>
      <c r="E112" s="9"/>
      <c r="F112" s="19"/>
      <c r="G112" s="9"/>
      <c r="H112" s="9"/>
      <c r="I112" s="19"/>
      <c r="J112" s="10"/>
      <c r="K112" s="11"/>
      <c r="L112" s="13"/>
      <c r="M112" s="20"/>
      <c r="N112" s="20"/>
    </row>
    <row r="113" spans="3:14" x14ac:dyDescent="0.25">
      <c r="C113" s="8">
        <f>ROW()</f>
        <v>113</v>
      </c>
      <c r="D113" s="12"/>
      <c r="E113" s="9"/>
      <c r="F113" s="19"/>
      <c r="G113" s="9"/>
      <c r="H113" s="9"/>
      <c r="I113" s="19"/>
      <c r="J113" s="10"/>
      <c r="K113" s="11"/>
      <c r="L113" s="13"/>
      <c r="M113" s="20"/>
      <c r="N113" s="20"/>
    </row>
    <row r="114" spans="3:14" x14ac:dyDescent="0.25">
      <c r="C114" s="8">
        <f>ROW()</f>
        <v>114</v>
      </c>
      <c r="D114" s="12"/>
      <c r="E114" s="9"/>
      <c r="F114" s="19"/>
      <c r="G114" s="9"/>
      <c r="H114" s="9"/>
      <c r="I114" s="19"/>
      <c r="J114" s="10"/>
      <c r="K114" s="11"/>
      <c r="L114" s="13"/>
      <c r="M114" s="20"/>
      <c r="N114" s="20"/>
    </row>
    <row r="115" spans="3:14" x14ac:dyDescent="0.25">
      <c r="C115" s="8">
        <f>ROW()</f>
        <v>115</v>
      </c>
      <c r="D115" s="12"/>
      <c r="E115" s="9"/>
      <c r="F115" s="19"/>
      <c r="G115" s="9"/>
      <c r="H115" s="9"/>
      <c r="I115" s="19"/>
      <c r="J115" s="10"/>
      <c r="K115" s="11"/>
      <c r="L115" s="13"/>
      <c r="M115" s="20"/>
      <c r="N115" s="20"/>
    </row>
    <row r="116" spans="3:14" x14ac:dyDescent="0.25">
      <c r="C116" s="8">
        <f>ROW()</f>
        <v>116</v>
      </c>
      <c r="D116" s="12"/>
      <c r="E116" s="9"/>
      <c r="F116" s="19"/>
      <c r="G116" s="9"/>
      <c r="H116" s="9"/>
      <c r="I116" s="19"/>
      <c r="J116" s="10"/>
      <c r="K116" s="11"/>
      <c r="L116" s="13"/>
      <c r="M116" s="20"/>
      <c r="N116" s="20"/>
    </row>
    <row r="117" spans="3:14" x14ac:dyDescent="0.25">
      <c r="C117" s="8">
        <f>ROW()</f>
        <v>117</v>
      </c>
      <c r="D117" s="12"/>
      <c r="E117" s="9"/>
      <c r="F117" s="19"/>
      <c r="G117" s="9"/>
      <c r="H117" s="9"/>
      <c r="I117" s="19"/>
      <c r="J117" s="10"/>
      <c r="K117" s="11"/>
      <c r="L117" s="13"/>
      <c r="M117" s="20"/>
      <c r="N117" s="20"/>
    </row>
    <row r="118" spans="3:14" x14ac:dyDescent="0.25">
      <c r="C118" s="8">
        <f>ROW()</f>
        <v>118</v>
      </c>
      <c r="D118" s="12"/>
      <c r="E118" s="9"/>
      <c r="F118" s="19"/>
      <c r="G118" s="9"/>
      <c r="H118" s="9"/>
      <c r="I118" s="19"/>
      <c r="J118" s="10"/>
      <c r="K118" s="11"/>
      <c r="L118" s="13"/>
      <c r="M118" s="20"/>
      <c r="N118" s="20"/>
    </row>
    <row r="119" spans="3:14" x14ac:dyDescent="0.25">
      <c r="C119" s="8">
        <f>ROW()</f>
        <v>119</v>
      </c>
      <c r="D119" s="12"/>
      <c r="E119" s="9"/>
      <c r="F119" s="19"/>
      <c r="G119" s="9"/>
      <c r="H119" s="9"/>
      <c r="I119" s="19"/>
      <c r="J119" s="10"/>
      <c r="K119" s="11"/>
      <c r="L119" s="13"/>
      <c r="M119" s="20"/>
      <c r="N119" s="20"/>
    </row>
    <row r="120" spans="3:14" x14ac:dyDescent="0.25">
      <c r="C120" s="8">
        <f>ROW()</f>
        <v>120</v>
      </c>
      <c r="D120" s="12"/>
      <c r="E120" s="9"/>
      <c r="F120" s="19"/>
      <c r="G120" s="9"/>
      <c r="H120" s="9"/>
      <c r="I120" s="19"/>
      <c r="J120" s="10"/>
      <c r="K120" s="11"/>
      <c r="L120" s="13"/>
      <c r="M120" s="20"/>
      <c r="N120" s="20"/>
    </row>
    <row r="121" spans="3:14" x14ac:dyDescent="0.25">
      <c r="C121" s="8">
        <f>ROW()</f>
        <v>121</v>
      </c>
      <c r="D121" s="12"/>
      <c r="E121" s="9"/>
      <c r="F121" s="19"/>
      <c r="G121" s="9"/>
      <c r="H121" s="9"/>
      <c r="I121" s="19"/>
      <c r="J121" s="10"/>
      <c r="K121" s="11"/>
      <c r="L121" s="13"/>
      <c r="M121" s="20"/>
      <c r="N121" s="20"/>
    </row>
    <row r="122" spans="3:14" x14ac:dyDescent="0.25">
      <c r="C122" s="8">
        <f>ROW()</f>
        <v>122</v>
      </c>
      <c r="D122" s="12"/>
      <c r="E122" s="9"/>
      <c r="F122" s="19"/>
      <c r="G122" s="9"/>
      <c r="H122" s="9"/>
      <c r="I122" s="19"/>
      <c r="J122" s="10"/>
      <c r="K122" s="11"/>
      <c r="L122" s="13"/>
      <c r="M122" s="20"/>
      <c r="N122" s="20"/>
    </row>
    <row r="123" spans="3:14" x14ac:dyDescent="0.25">
      <c r="C123" s="8">
        <f>ROW()</f>
        <v>123</v>
      </c>
      <c r="D123" s="12"/>
      <c r="E123" s="9"/>
      <c r="F123" s="19"/>
      <c r="G123" s="9"/>
      <c r="H123" s="9"/>
      <c r="I123" s="19"/>
      <c r="J123" s="10"/>
      <c r="K123" s="11"/>
      <c r="L123" s="13"/>
      <c r="M123" s="20"/>
      <c r="N123" s="20"/>
    </row>
    <row r="124" spans="3:14" x14ac:dyDescent="0.25">
      <c r="C124" s="8">
        <f>ROW()</f>
        <v>124</v>
      </c>
      <c r="D124" s="12"/>
      <c r="E124" s="9"/>
      <c r="F124" s="19"/>
      <c r="G124" s="9"/>
      <c r="H124" s="9"/>
      <c r="I124" s="19"/>
      <c r="J124" s="10"/>
      <c r="K124" s="11"/>
      <c r="L124" s="13"/>
      <c r="M124" s="20"/>
      <c r="N124" s="20"/>
    </row>
    <row r="125" spans="3:14" x14ac:dyDescent="0.25">
      <c r="C125" s="8">
        <f>ROW()</f>
        <v>125</v>
      </c>
      <c r="D125" s="12"/>
      <c r="E125" s="9"/>
      <c r="F125" s="19"/>
      <c r="G125" s="9"/>
      <c r="H125" s="9"/>
      <c r="I125" s="19"/>
      <c r="J125" s="10"/>
      <c r="K125" s="11"/>
      <c r="L125" s="13"/>
      <c r="M125" s="20"/>
      <c r="N125" s="20"/>
    </row>
    <row r="126" spans="3:14" x14ac:dyDescent="0.25">
      <c r="C126" s="8">
        <f>ROW()</f>
        <v>126</v>
      </c>
      <c r="D126" s="12"/>
      <c r="E126" s="9"/>
      <c r="F126" s="19"/>
      <c r="G126" s="9"/>
      <c r="H126" s="9"/>
      <c r="I126" s="19"/>
      <c r="J126" s="10"/>
      <c r="K126" s="11"/>
      <c r="L126" s="13"/>
      <c r="M126" s="20"/>
      <c r="N126" s="20"/>
    </row>
    <row r="127" spans="3:14" x14ac:dyDescent="0.25">
      <c r="C127" s="8">
        <f>ROW()</f>
        <v>127</v>
      </c>
      <c r="D127" s="12"/>
      <c r="E127" s="9"/>
      <c r="F127" s="19"/>
      <c r="G127" s="9"/>
      <c r="H127" s="9"/>
      <c r="I127" s="19"/>
      <c r="J127" s="10"/>
      <c r="K127" s="11"/>
      <c r="L127" s="13"/>
      <c r="M127" s="20"/>
      <c r="N127" s="20"/>
    </row>
    <row r="128" spans="3:14" x14ac:dyDescent="0.25">
      <c r="C128" s="8">
        <f>ROW()</f>
        <v>128</v>
      </c>
      <c r="D128" s="12"/>
      <c r="E128" s="9"/>
      <c r="F128" s="19"/>
      <c r="G128" s="9"/>
      <c r="H128" s="9"/>
      <c r="I128" s="19"/>
      <c r="J128" s="10"/>
      <c r="K128" s="11"/>
      <c r="L128" s="13"/>
      <c r="M128" s="20"/>
      <c r="N128" s="20"/>
    </row>
    <row r="129" spans="3:14" x14ac:dyDescent="0.25">
      <c r="C129" s="8">
        <f>ROW()</f>
        <v>129</v>
      </c>
      <c r="D129" s="12"/>
      <c r="E129" s="9"/>
      <c r="F129" s="19"/>
      <c r="G129" s="9"/>
      <c r="H129" s="9"/>
      <c r="I129" s="19"/>
      <c r="J129" s="10"/>
      <c r="K129" s="11"/>
      <c r="L129" s="13"/>
      <c r="M129" s="20"/>
      <c r="N129" s="20"/>
    </row>
    <row r="130" spans="3:14" x14ac:dyDescent="0.25">
      <c r="C130" s="8">
        <f>ROW()</f>
        <v>130</v>
      </c>
      <c r="D130" s="12"/>
      <c r="E130" s="9"/>
      <c r="F130" s="19"/>
      <c r="G130" s="9"/>
      <c r="H130" s="9"/>
      <c r="I130" s="19"/>
      <c r="J130" s="10"/>
      <c r="K130" s="11"/>
      <c r="L130" s="13"/>
      <c r="M130" s="20"/>
      <c r="N130" s="20"/>
    </row>
    <row r="131" spans="3:14" x14ac:dyDescent="0.25">
      <c r="C131" s="8">
        <f>ROW()</f>
        <v>131</v>
      </c>
      <c r="D131" s="12"/>
      <c r="E131" s="9"/>
      <c r="F131" s="19"/>
      <c r="G131" s="9"/>
      <c r="H131" s="9"/>
      <c r="I131" s="19"/>
      <c r="J131" s="10"/>
      <c r="K131" s="11"/>
      <c r="L131" s="13"/>
      <c r="M131" s="20"/>
      <c r="N131" s="20"/>
    </row>
    <row r="132" spans="3:14" x14ac:dyDescent="0.25">
      <c r="C132" s="8">
        <f>ROW()</f>
        <v>132</v>
      </c>
      <c r="D132" s="12"/>
      <c r="E132" s="9"/>
      <c r="F132" s="19"/>
      <c r="G132" s="9"/>
      <c r="H132" s="9"/>
      <c r="I132" s="19"/>
      <c r="J132" s="10"/>
      <c r="K132" s="11"/>
      <c r="L132" s="13"/>
      <c r="M132" s="20"/>
      <c r="N132" s="20"/>
    </row>
    <row r="133" spans="3:14" x14ac:dyDescent="0.25">
      <c r="C133" s="8">
        <f>ROW()</f>
        <v>133</v>
      </c>
      <c r="D133" s="12"/>
      <c r="E133" s="9"/>
      <c r="F133" s="19"/>
      <c r="G133" s="9"/>
      <c r="H133" s="9"/>
      <c r="I133" s="19"/>
      <c r="J133" s="10"/>
      <c r="K133" s="11"/>
      <c r="L133" s="13"/>
      <c r="M133" s="20"/>
      <c r="N133" s="20"/>
    </row>
    <row r="134" spans="3:14" x14ac:dyDescent="0.25">
      <c r="C134" s="8">
        <f>ROW()</f>
        <v>134</v>
      </c>
      <c r="D134" s="12"/>
      <c r="E134" s="9"/>
      <c r="F134" s="19"/>
      <c r="G134" s="9"/>
      <c r="H134" s="9"/>
      <c r="I134" s="19"/>
      <c r="J134" s="10"/>
      <c r="K134" s="11"/>
      <c r="L134" s="13"/>
      <c r="M134" s="20"/>
      <c r="N134" s="20"/>
    </row>
    <row r="135" spans="3:14" x14ac:dyDescent="0.25">
      <c r="C135" s="8">
        <f>ROW()</f>
        <v>135</v>
      </c>
      <c r="D135" s="12"/>
      <c r="E135" s="9"/>
      <c r="F135" s="19"/>
      <c r="G135" s="9"/>
      <c r="H135" s="9"/>
      <c r="I135" s="19"/>
      <c r="J135" s="10"/>
      <c r="K135" s="11"/>
      <c r="L135" s="13"/>
      <c r="M135" s="20"/>
      <c r="N135" s="20"/>
    </row>
    <row r="136" spans="3:14" x14ac:dyDescent="0.25">
      <c r="C136" s="8">
        <f>ROW()</f>
        <v>136</v>
      </c>
      <c r="D136" s="12"/>
      <c r="E136" s="9"/>
      <c r="F136" s="19"/>
      <c r="G136" s="9"/>
      <c r="H136" s="9"/>
      <c r="I136" s="19"/>
      <c r="J136" s="10"/>
      <c r="K136" s="11"/>
      <c r="L136" s="13"/>
      <c r="M136" s="20"/>
      <c r="N136" s="20"/>
    </row>
    <row r="137" spans="3:14" x14ac:dyDescent="0.25">
      <c r="C137" s="8">
        <f>ROW()</f>
        <v>137</v>
      </c>
      <c r="D137" s="12"/>
      <c r="E137" s="9"/>
      <c r="F137" s="19"/>
      <c r="G137" s="9"/>
      <c r="H137" s="9"/>
      <c r="I137" s="19"/>
      <c r="J137" s="10"/>
      <c r="K137" s="11"/>
      <c r="L137" s="13"/>
      <c r="M137" s="20"/>
      <c r="N137" s="20"/>
    </row>
    <row r="138" spans="3:14" x14ac:dyDescent="0.25">
      <c r="C138" s="8">
        <f>ROW()</f>
        <v>138</v>
      </c>
      <c r="D138" s="12"/>
      <c r="E138" s="9"/>
      <c r="F138" s="19"/>
      <c r="G138" s="9"/>
      <c r="H138" s="9"/>
      <c r="I138" s="19"/>
      <c r="J138" s="10"/>
      <c r="K138" s="11"/>
      <c r="L138" s="13"/>
      <c r="M138" s="20"/>
      <c r="N138" s="20"/>
    </row>
    <row r="139" spans="3:14" x14ac:dyDescent="0.25">
      <c r="C139" s="8">
        <f>ROW()</f>
        <v>139</v>
      </c>
      <c r="D139" s="12"/>
      <c r="E139" s="9"/>
      <c r="F139" s="19"/>
      <c r="G139" s="9"/>
      <c r="H139" s="9"/>
      <c r="I139" s="19"/>
      <c r="J139" s="10"/>
      <c r="K139" s="11"/>
      <c r="L139" s="13"/>
      <c r="M139" s="20"/>
      <c r="N139" s="20"/>
    </row>
    <row r="140" spans="3:14" x14ac:dyDescent="0.25">
      <c r="C140" s="8">
        <f>ROW()</f>
        <v>140</v>
      </c>
      <c r="D140" s="12"/>
      <c r="E140" s="9"/>
      <c r="F140" s="19"/>
      <c r="G140" s="9"/>
      <c r="H140" s="9"/>
      <c r="I140" s="19"/>
      <c r="J140" s="10"/>
      <c r="K140" s="11"/>
      <c r="L140" s="13"/>
      <c r="M140" s="20"/>
      <c r="N140" s="20"/>
    </row>
    <row r="141" spans="3:14" x14ac:dyDescent="0.25">
      <c r="C141" s="8">
        <f>ROW()</f>
        <v>141</v>
      </c>
      <c r="D141" s="12"/>
      <c r="E141" s="9"/>
      <c r="F141" s="19"/>
      <c r="G141" s="9"/>
      <c r="H141" s="9"/>
      <c r="I141" s="19"/>
      <c r="J141" s="10"/>
      <c r="K141" s="11"/>
      <c r="L141" s="13"/>
      <c r="M141" s="20"/>
      <c r="N141" s="20"/>
    </row>
    <row r="142" spans="3:14" x14ac:dyDescent="0.25">
      <c r="C142" s="8">
        <f>ROW()</f>
        <v>142</v>
      </c>
      <c r="D142" s="12"/>
      <c r="E142" s="9"/>
      <c r="F142" s="19"/>
      <c r="G142" s="9"/>
      <c r="H142" s="9"/>
      <c r="I142" s="19"/>
      <c r="J142" s="10"/>
      <c r="K142" s="11"/>
      <c r="L142" s="13"/>
      <c r="M142" s="20"/>
      <c r="N142" s="20"/>
    </row>
    <row r="143" spans="3:14" x14ac:dyDescent="0.25">
      <c r="C143" s="8">
        <f>ROW()</f>
        <v>143</v>
      </c>
      <c r="D143" s="12"/>
      <c r="E143" s="9"/>
      <c r="F143" s="19"/>
      <c r="G143" s="9"/>
      <c r="H143" s="9"/>
      <c r="I143" s="19"/>
      <c r="J143" s="10"/>
      <c r="K143" s="11"/>
      <c r="L143" s="13"/>
      <c r="M143" s="20"/>
      <c r="N143" s="20"/>
    </row>
    <row r="144" spans="3:14" x14ac:dyDescent="0.25">
      <c r="C144" s="8">
        <f>ROW()</f>
        <v>144</v>
      </c>
      <c r="D144" s="12"/>
      <c r="E144" s="9"/>
      <c r="F144" s="19"/>
      <c r="G144" s="9"/>
      <c r="H144" s="9"/>
      <c r="I144" s="19"/>
      <c r="J144" s="10"/>
      <c r="K144" s="11"/>
      <c r="L144" s="13"/>
      <c r="M144" s="20"/>
      <c r="N144" s="20"/>
    </row>
    <row r="145" spans="3:14" x14ac:dyDescent="0.25">
      <c r="C145" s="8">
        <f>ROW()</f>
        <v>145</v>
      </c>
      <c r="D145" s="12"/>
      <c r="E145" s="9"/>
      <c r="F145" s="19"/>
      <c r="G145" s="9"/>
      <c r="H145" s="9"/>
      <c r="I145" s="19"/>
      <c r="J145" s="10"/>
      <c r="K145" s="11"/>
      <c r="L145" s="13"/>
      <c r="M145" s="20"/>
      <c r="N145" s="20"/>
    </row>
    <row r="146" spans="3:14" x14ac:dyDescent="0.25">
      <c r="C146" s="8">
        <f>ROW()</f>
        <v>146</v>
      </c>
      <c r="D146" s="12"/>
      <c r="E146" s="9"/>
      <c r="F146" s="19"/>
      <c r="G146" s="9"/>
      <c r="H146" s="9"/>
      <c r="I146" s="19"/>
      <c r="J146" s="10"/>
      <c r="K146" s="11"/>
      <c r="L146" s="13"/>
      <c r="M146" s="20"/>
      <c r="N146" s="20"/>
    </row>
    <row r="147" spans="3:14" x14ac:dyDescent="0.25">
      <c r="C147" s="8">
        <f>ROW()</f>
        <v>147</v>
      </c>
      <c r="D147" s="12"/>
      <c r="E147" s="9"/>
      <c r="F147" s="19"/>
      <c r="G147" s="9"/>
      <c r="H147" s="9"/>
      <c r="I147" s="19"/>
      <c r="J147" s="10"/>
      <c r="K147" s="11"/>
      <c r="L147" s="13"/>
      <c r="M147" s="20"/>
      <c r="N147" s="20"/>
    </row>
    <row r="148" spans="3:14" x14ac:dyDescent="0.25">
      <c r="C148" s="8">
        <f>ROW()</f>
        <v>148</v>
      </c>
      <c r="D148" s="12"/>
      <c r="E148" s="9"/>
      <c r="F148" s="19"/>
      <c r="G148" s="9"/>
      <c r="H148" s="9"/>
      <c r="I148" s="19"/>
      <c r="J148" s="10"/>
      <c r="K148" s="11"/>
      <c r="L148" s="13"/>
      <c r="M148" s="20"/>
      <c r="N148" s="20"/>
    </row>
    <row r="149" spans="3:14" x14ac:dyDescent="0.25">
      <c r="C149" s="8">
        <f>ROW()</f>
        <v>149</v>
      </c>
      <c r="D149" s="12"/>
      <c r="E149" s="9"/>
      <c r="F149" s="19"/>
      <c r="G149" s="9"/>
      <c r="H149" s="9"/>
      <c r="I149" s="19"/>
      <c r="J149" s="10"/>
      <c r="K149" s="11"/>
      <c r="L149" s="13"/>
      <c r="M149" s="20"/>
      <c r="N149" s="20"/>
    </row>
    <row r="150" spans="3:14" x14ac:dyDescent="0.25">
      <c r="C150" s="8">
        <f>ROW()</f>
        <v>150</v>
      </c>
      <c r="D150" s="12"/>
      <c r="E150" s="9"/>
      <c r="F150" s="19"/>
      <c r="G150" s="9"/>
      <c r="H150" s="9"/>
      <c r="I150" s="19"/>
      <c r="J150" s="10"/>
      <c r="K150" s="11"/>
      <c r="L150" s="13"/>
      <c r="M150" s="20"/>
      <c r="N150" s="20"/>
    </row>
    <row r="151" spans="3:14" x14ac:dyDescent="0.25">
      <c r="C151" s="8">
        <f>ROW()</f>
        <v>151</v>
      </c>
      <c r="D151" s="12"/>
      <c r="E151" s="9"/>
      <c r="F151" s="19"/>
      <c r="G151" s="9"/>
      <c r="H151" s="9"/>
      <c r="I151" s="19"/>
      <c r="J151" s="10"/>
      <c r="K151" s="11"/>
      <c r="L151" s="13"/>
      <c r="M151" s="20"/>
      <c r="N151" s="20"/>
    </row>
    <row r="152" spans="3:14" x14ac:dyDescent="0.25">
      <c r="C152" s="8">
        <f>ROW()</f>
        <v>152</v>
      </c>
      <c r="D152" s="12"/>
      <c r="E152" s="9"/>
      <c r="F152" s="19"/>
      <c r="G152" s="9"/>
      <c r="H152" s="9"/>
      <c r="I152" s="19"/>
      <c r="J152" s="10"/>
      <c r="K152" s="11"/>
      <c r="L152" s="13"/>
      <c r="M152" s="20"/>
      <c r="N152" s="20"/>
    </row>
    <row r="153" spans="3:14" x14ac:dyDescent="0.25">
      <c r="C153" s="8">
        <f>ROW()</f>
        <v>153</v>
      </c>
      <c r="D153" s="12"/>
      <c r="E153" s="9"/>
      <c r="F153" s="19"/>
      <c r="G153" s="9"/>
      <c r="H153" s="9"/>
      <c r="I153" s="19"/>
      <c r="J153" s="10"/>
      <c r="K153" s="11"/>
      <c r="L153" s="13"/>
      <c r="M153" s="20"/>
      <c r="N153" s="20"/>
    </row>
    <row r="154" spans="3:14" x14ac:dyDescent="0.25">
      <c r="C154" s="8">
        <f>ROW()</f>
        <v>154</v>
      </c>
      <c r="D154" s="12"/>
      <c r="E154" s="9"/>
      <c r="F154" s="19"/>
      <c r="G154" s="9"/>
      <c r="H154" s="9"/>
      <c r="I154" s="19"/>
      <c r="J154" s="10"/>
      <c r="K154" s="11"/>
      <c r="L154" s="13"/>
      <c r="M154" s="20"/>
      <c r="N154" s="20"/>
    </row>
    <row r="155" spans="3:14" x14ac:dyDescent="0.25">
      <c r="C155" s="8">
        <f>ROW()</f>
        <v>155</v>
      </c>
      <c r="D155" s="12"/>
      <c r="E155" s="9"/>
      <c r="F155" s="19"/>
      <c r="G155" s="9"/>
      <c r="H155" s="9"/>
      <c r="I155" s="19"/>
      <c r="J155" s="10"/>
      <c r="K155" s="11"/>
      <c r="L155" s="13"/>
      <c r="M155" s="20"/>
      <c r="N155" s="20"/>
    </row>
    <row r="156" spans="3:14" x14ac:dyDescent="0.25">
      <c r="C156" s="8">
        <f>ROW()</f>
        <v>156</v>
      </c>
      <c r="D156" s="12"/>
      <c r="E156" s="9"/>
      <c r="F156" s="19"/>
      <c r="G156" s="9"/>
      <c r="H156" s="9"/>
      <c r="I156" s="19"/>
      <c r="J156" s="10"/>
      <c r="K156" s="11"/>
      <c r="L156" s="13"/>
      <c r="M156" s="20"/>
      <c r="N156" s="20"/>
    </row>
    <row r="157" spans="3:14" x14ac:dyDescent="0.25">
      <c r="C157" s="8">
        <f>ROW()</f>
        <v>157</v>
      </c>
      <c r="D157" s="12"/>
      <c r="E157" s="9"/>
      <c r="F157" s="19"/>
      <c r="G157" s="9"/>
      <c r="H157" s="9"/>
      <c r="I157" s="19"/>
      <c r="J157" s="10"/>
      <c r="K157" s="11"/>
      <c r="L157" s="13"/>
      <c r="M157" s="20"/>
      <c r="N157" s="20"/>
    </row>
    <row r="158" spans="3:14" x14ac:dyDescent="0.25">
      <c r="C158" s="8">
        <f>ROW()</f>
        <v>158</v>
      </c>
      <c r="D158" s="12"/>
      <c r="E158" s="9"/>
      <c r="F158" s="19"/>
      <c r="G158" s="9"/>
      <c r="H158" s="9"/>
      <c r="I158" s="19"/>
      <c r="J158" s="10"/>
      <c r="K158" s="11"/>
      <c r="L158" s="13"/>
      <c r="M158" s="20"/>
      <c r="N158" s="20"/>
    </row>
    <row r="159" spans="3:14" x14ac:dyDescent="0.25">
      <c r="C159" s="8">
        <f>ROW()</f>
        <v>159</v>
      </c>
      <c r="D159" s="12"/>
      <c r="E159" s="9"/>
      <c r="F159" s="19"/>
      <c r="G159" s="9"/>
      <c r="H159" s="9"/>
      <c r="I159" s="19"/>
      <c r="J159" s="10"/>
      <c r="K159" s="11"/>
      <c r="L159" s="13"/>
      <c r="M159" s="20"/>
      <c r="N159" s="20"/>
    </row>
    <row r="160" spans="3:14" x14ac:dyDescent="0.25">
      <c r="C160" s="8">
        <f>ROW()</f>
        <v>160</v>
      </c>
      <c r="D160" s="12"/>
      <c r="E160" s="9"/>
      <c r="F160" s="19"/>
      <c r="G160" s="9"/>
      <c r="H160" s="9"/>
      <c r="I160" s="19"/>
      <c r="J160" s="10"/>
      <c r="K160" s="11"/>
      <c r="L160" s="13"/>
      <c r="M160" s="20"/>
      <c r="N160" s="20"/>
    </row>
    <row r="161" spans="3:14" x14ac:dyDescent="0.25">
      <c r="C161" s="8">
        <f>ROW()</f>
        <v>161</v>
      </c>
      <c r="D161" s="12"/>
      <c r="E161" s="9"/>
      <c r="F161" s="19"/>
      <c r="G161" s="9"/>
      <c r="H161" s="9"/>
      <c r="I161" s="19"/>
      <c r="J161" s="10"/>
      <c r="K161" s="11"/>
      <c r="L161" s="13"/>
      <c r="M161" s="20"/>
      <c r="N161" s="20"/>
    </row>
    <row r="162" spans="3:14" x14ac:dyDescent="0.25">
      <c r="C162" s="8">
        <f>ROW()</f>
        <v>162</v>
      </c>
      <c r="D162" s="12"/>
      <c r="E162" s="9"/>
      <c r="F162" s="19"/>
      <c r="G162" s="9"/>
      <c r="H162" s="9"/>
      <c r="I162" s="19"/>
      <c r="J162" s="10"/>
      <c r="K162" s="11"/>
      <c r="L162" s="13"/>
      <c r="M162" s="20"/>
      <c r="N162" s="20"/>
    </row>
    <row r="163" spans="3:14" x14ac:dyDescent="0.25">
      <c r="C163" s="8">
        <f>ROW()</f>
        <v>163</v>
      </c>
      <c r="D163" s="12"/>
      <c r="E163" s="9"/>
      <c r="F163" s="19"/>
      <c r="G163" s="9"/>
      <c r="H163" s="9"/>
      <c r="I163" s="19"/>
      <c r="J163" s="10"/>
      <c r="K163" s="11"/>
      <c r="L163" s="13"/>
      <c r="M163" s="20"/>
      <c r="N163" s="20"/>
    </row>
    <row r="164" spans="3:14" x14ac:dyDescent="0.25">
      <c r="C164" s="8">
        <f>ROW()</f>
        <v>164</v>
      </c>
      <c r="D164" s="12"/>
      <c r="E164" s="9"/>
      <c r="F164" s="19"/>
      <c r="G164" s="9"/>
      <c r="H164" s="9"/>
      <c r="I164" s="19"/>
      <c r="J164" s="10"/>
      <c r="K164" s="11"/>
      <c r="L164" s="13"/>
      <c r="M164" s="20"/>
      <c r="N164" s="20"/>
    </row>
    <row r="165" spans="3:14" x14ac:dyDescent="0.25">
      <c r="C165" s="8">
        <f>ROW()</f>
        <v>165</v>
      </c>
      <c r="D165" s="12"/>
      <c r="E165" s="9"/>
      <c r="F165" s="19"/>
      <c r="G165" s="9"/>
      <c r="H165" s="9"/>
      <c r="I165" s="19"/>
      <c r="J165" s="10"/>
      <c r="K165" s="11"/>
      <c r="L165" s="13"/>
      <c r="M165" s="20"/>
      <c r="N165" s="20"/>
    </row>
    <row r="166" spans="3:14" x14ac:dyDescent="0.25">
      <c r="C166" s="8">
        <f>ROW()</f>
        <v>166</v>
      </c>
      <c r="D166" s="12"/>
      <c r="E166" s="9"/>
      <c r="F166" s="19"/>
      <c r="G166" s="9"/>
      <c r="H166" s="9"/>
      <c r="I166" s="19"/>
      <c r="J166" s="10"/>
      <c r="K166" s="11"/>
      <c r="L166" s="13"/>
      <c r="M166" s="20"/>
      <c r="N166" s="20"/>
    </row>
    <row r="167" spans="3:14" x14ac:dyDescent="0.25">
      <c r="C167" s="8">
        <f>ROW()</f>
        <v>167</v>
      </c>
      <c r="D167" s="12"/>
      <c r="E167" s="9"/>
      <c r="F167" s="19"/>
      <c r="G167" s="9"/>
      <c r="H167" s="9"/>
      <c r="I167" s="19"/>
      <c r="J167" s="10"/>
      <c r="K167" s="11"/>
      <c r="L167" s="13"/>
      <c r="M167" s="20"/>
      <c r="N167" s="20"/>
    </row>
    <row r="168" spans="3:14" x14ac:dyDescent="0.25">
      <c r="C168" s="8">
        <f>ROW()</f>
        <v>168</v>
      </c>
      <c r="D168" s="12"/>
      <c r="E168" s="9"/>
      <c r="F168" s="19"/>
      <c r="G168" s="9"/>
      <c r="H168" s="9"/>
      <c r="I168" s="19"/>
      <c r="J168" s="10"/>
      <c r="K168" s="11"/>
      <c r="L168" s="13"/>
      <c r="M168" s="20"/>
      <c r="N168" s="20"/>
    </row>
    <row r="169" spans="3:14" x14ac:dyDescent="0.25">
      <c r="C169" s="8">
        <f>ROW()</f>
        <v>169</v>
      </c>
      <c r="D169" s="12"/>
      <c r="E169" s="9"/>
      <c r="F169" s="19"/>
      <c r="G169" s="9"/>
      <c r="H169" s="9"/>
      <c r="I169" s="19"/>
      <c r="J169" s="10"/>
      <c r="K169" s="11"/>
      <c r="L169" s="13"/>
      <c r="M169" s="20"/>
      <c r="N169" s="20"/>
    </row>
    <row r="170" spans="3:14" x14ac:dyDescent="0.25">
      <c r="C170" s="8">
        <f>ROW()</f>
        <v>170</v>
      </c>
      <c r="D170" s="12"/>
      <c r="E170" s="9"/>
      <c r="F170" s="19"/>
      <c r="G170" s="9"/>
      <c r="H170" s="9"/>
      <c r="I170" s="19"/>
      <c r="J170" s="10"/>
      <c r="K170" s="11"/>
      <c r="L170" s="13"/>
      <c r="M170" s="20"/>
      <c r="N170" s="20"/>
    </row>
    <row r="171" spans="3:14" x14ac:dyDescent="0.25">
      <c r="C171" s="8">
        <f>ROW()</f>
        <v>171</v>
      </c>
      <c r="D171" s="12"/>
      <c r="E171" s="9"/>
      <c r="F171" s="19"/>
      <c r="G171" s="9"/>
      <c r="H171" s="9"/>
      <c r="I171" s="19"/>
      <c r="J171" s="10"/>
      <c r="K171" s="11"/>
      <c r="L171" s="13"/>
      <c r="M171" s="20"/>
      <c r="N171" s="20"/>
    </row>
    <row r="172" spans="3:14" x14ac:dyDescent="0.25">
      <c r="C172" s="8">
        <f>ROW()</f>
        <v>172</v>
      </c>
      <c r="D172" s="12"/>
      <c r="E172" s="9"/>
      <c r="F172" s="19"/>
      <c r="G172" s="9"/>
      <c r="H172" s="9"/>
      <c r="I172" s="19"/>
      <c r="J172" s="10"/>
      <c r="K172" s="11"/>
      <c r="L172" s="13"/>
      <c r="M172" s="20"/>
      <c r="N172" s="20"/>
    </row>
    <row r="173" spans="3:14" x14ac:dyDescent="0.25">
      <c r="C173" s="8">
        <f>ROW()</f>
        <v>173</v>
      </c>
      <c r="D173" s="12"/>
      <c r="E173" s="9"/>
      <c r="F173" s="19"/>
      <c r="G173" s="9"/>
      <c r="H173" s="9"/>
      <c r="I173" s="19"/>
      <c r="J173" s="10"/>
      <c r="K173" s="11"/>
      <c r="L173" s="13"/>
      <c r="M173" s="20"/>
      <c r="N173" s="20"/>
    </row>
    <row r="174" spans="3:14" x14ac:dyDescent="0.25">
      <c r="C174" s="8">
        <f>ROW()</f>
        <v>174</v>
      </c>
      <c r="D174" s="12"/>
      <c r="E174" s="9"/>
      <c r="F174" s="19"/>
      <c r="G174" s="9"/>
      <c r="H174" s="9"/>
      <c r="I174" s="19"/>
      <c r="J174" s="10"/>
      <c r="K174" s="11"/>
      <c r="L174" s="13"/>
      <c r="M174" s="20"/>
      <c r="N174" s="20"/>
    </row>
    <row r="175" spans="3:14" x14ac:dyDescent="0.25">
      <c r="C175" s="8">
        <f>ROW()</f>
        <v>175</v>
      </c>
      <c r="D175" s="12"/>
      <c r="E175" s="9"/>
      <c r="F175" s="19"/>
      <c r="G175" s="9"/>
      <c r="H175" s="9"/>
      <c r="I175" s="19"/>
      <c r="J175" s="10"/>
      <c r="K175" s="11"/>
      <c r="L175" s="13"/>
      <c r="M175" s="20"/>
      <c r="N175" s="20"/>
    </row>
    <row r="176" spans="3:14" x14ac:dyDescent="0.25">
      <c r="C176" s="8">
        <f>ROW()</f>
        <v>176</v>
      </c>
      <c r="D176" s="12"/>
      <c r="E176" s="9"/>
      <c r="F176" s="19"/>
      <c r="G176" s="9"/>
      <c r="H176" s="9"/>
      <c r="I176" s="19"/>
      <c r="J176" s="10"/>
      <c r="K176" s="11"/>
      <c r="L176" s="13"/>
      <c r="M176" s="20"/>
      <c r="N176" s="20"/>
    </row>
    <row r="177" spans="3:14" x14ac:dyDescent="0.25">
      <c r="C177" s="8">
        <f>ROW()</f>
        <v>177</v>
      </c>
      <c r="D177" s="12"/>
      <c r="E177" s="9"/>
      <c r="F177" s="19"/>
      <c r="G177" s="9"/>
      <c r="H177" s="9"/>
      <c r="I177" s="19"/>
      <c r="J177" s="10"/>
      <c r="K177" s="11"/>
      <c r="L177" s="13"/>
      <c r="M177" s="20"/>
      <c r="N177" s="20"/>
    </row>
    <row r="178" spans="3:14" x14ac:dyDescent="0.25">
      <c r="C178" s="8">
        <f>ROW()</f>
        <v>178</v>
      </c>
      <c r="D178" s="12"/>
      <c r="E178" s="9"/>
      <c r="F178" s="19"/>
      <c r="G178" s="9"/>
      <c r="H178" s="9"/>
      <c r="I178" s="19"/>
      <c r="J178" s="10"/>
      <c r="K178" s="11"/>
      <c r="L178" s="13"/>
      <c r="M178" s="20"/>
      <c r="N178" s="20"/>
    </row>
    <row r="179" spans="3:14" x14ac:dyDescent="0.25">
      <c r="C179" s="8">
        <f>ROW()</f>
        <v>179</v>
      </c>
      <c r="D179" s="12"/>
      <c r="E179" s="9"/>
      <c r="F179" s="19"/>
      <c r="G179" s="9"/>
      <c r="H179" s="9"/>
      <c r="I179" s="19"/>
      <c r="J179" s="10"/>
      <c r="K179" s="11"/>
      <c r="L179" s="13"/>
      <c r="M179" s="20"/>
      <c r="N179" s="20"/>
    </row>
    <row r="180" spans="3:14" x14ac:dyDescent="0.25">
      <c r="C180" s="8">
        <f>ROW()</f>
        <v>180</v>
      </c>
      <c r="D180" s="12"/>
      <c r="E180" s="9"/>
      <c r="F180" s="19"/>
      <c r="G180" s="9"/>
      <c r="H180" s="9"/>
      <c r="I180" s="19"/>
      <c r="J180" s="10"/>
      <c r="K180" s="11"/>
      <c r="L180" s="13"/>
      <c r="M180" s="20"/>
      <c r="N180" s="20"/>
    </row>
    <row r="181" spans="3:14" x14ac:dyDescent="0.25">
      <c r="C181" s="8">
        <f>ROW()</f>
        <v>181</v>
      </c>
      <c r="D181" s="12"/>
      <c r="E181" s="9"/>
      <c r="F181" s="19"/>
      <c r="G181" s="9"/>
      <c r="H181" s="9"/>
      <c r="I181" s="19"/>
      <c r="J181" s="10"/>
      <c r="K181" s="11"/>
      <c r="L181" s="13"/>
      <c r="M181" s="20"/>
      <c r="N181" s="20"/>
    </row>
    <row r="182" spans="3:14" x14ac:dyDescent="0.25">
      <c r="C182" s="8">
        <f>ROW()</f>
        <v>182</v>
      </c>
      <c r="D182" s="12"/>
      <c r="E182" s="9"/>
      <c r="F182" s="19"/>
      <c r="G182" s="9"/>
      <c r="H182" s="9"/>
      <c r="I182" s="19"/>
      <c r="J182" s="10"/>
      <c r="K182" s="11"/>
      <c r="L182" s="13"/>
      <c r="M182" s="20"/>
      <c r="N182" s="20"/>
    </row>
    <row r="183" spans="3:14" x14ac:dyDescent="0.25">
      <c r="C183" s="8">
        <f>ROW()</f>
        <v>183</v>
      </c>
      <c r="D183" s="12"/>
      <c r="E183" s="9"/>
      <c r="F183" s="19"/>
      <c r="G183" s="9"/>
      <c r="H183" s="9"/>
      <c r="I183" s="19"/>
      <c r="J183" s="10"/>
      <c r="K183" s="11"/>
      <c r="L183" s="13"/>
      <c r="M183" s="20"/>
      <c r="N183" s="20"/>
    </row>
    <row r="184" spans="3:14" x14ac:dyDescent="0.25">
      <c r="C184" s="8">
        <f>ROW()</f>
        <v>184</v>
      </c>
      <c r="D184" s="12"/>
      <c r="E184" s="9"/>
      <c r="F184" s="19"/>
      <c r="G184" s="9"/>
      <c r="H184" s="9"/>
      <c r="I184" s="19"/>
      <c r="J184" s="10"/>
      <c r="K184" s="11"/>
      <c r="L184" s="13"/>
      <c r="M184" s="20"/>
      <c r="N184" s="20"/>
    </row>
    <row r="185" spans="3:14" x14ac:dyDescent="0.25">
      <c r="C185" s="8">
        <f>ROW()</f>
        <v>185</v>
      </c>
      <c r="D185" s="12"/>
      <c r="E185" s="9"/>
      <c r="F185" s="19"/>
      <c r="G185" s="9"/>
      <c r="H185" s="9"/>
      <c r="I185" s="19"/>
      <c r="J185" s="10"/>
      <c r="K185" s="11"/>
      <c r="L185" s="13"/>
      <c r="M185" s="20"/>
      <c r="N185" s="20"/>
    </row>
    <row r="186" spans="3:14" x14ac:dyDescent="0.25">
      <c r="C186" s="8">
        <f>ROW()</f>
        <v>186</v>
      </c>
      <c r="D186" s="12"/>
      <c r="E186" s="9"/>
      <c r="F186" s="19"/>
      <c r="G186" s="9"/>
      <c r="H186" s="9"/>
      <c r="I186" s="19"/>
      <c r="J186" s="10"/>
      <c r="K186" s="11"/>
      <c r="L186" s="13"/>
      <c r="M186" s="20"/>
      <c r="N186" s="20"/>
    </row>
    <row r="187" spans="3:14" x14ac:dyDescent="0.25">
      <c r="C187" s="8">
        <f>ROW()</f>
        <v>187</v>
      </c>
      <c r="D187" s="12"/>
      <c r="E187" s="9"/>
      <c r="F187" s="19"/>
      <c r="G187" s="9"/>
      <c r="H187" s="9"/>
      <c r="I187" s="19"/>
      <c r="J187" s="10"/>
      <c r="K187" s="11"/>
      <c r="L187" s="13"/>
      <c r="M187" s="20"/>
      <c r="N187" s="20"/>
    </row>
    <row r="188" spans="3:14" x14ac:dyDescent="0.25">
      <c r="C188" s="8">
        <f>ROW()</f>
        <v>188</v>
      </c>
      <c r="D188" s="12"/>
      <c r="E188" s="9"/>
      <c r="F188" s="19"/>
      <c r="G188" s="9"/>
      <c r="H188" s="9"/>
      <c r="I188" s="19"/>
      <c r="J188" s="10"/>
      <c r="K188" s="11"/>
      <c r="L188" s="13"/>
      <c r="M188" s="20"/>
      <c r="N188" s="20"/>
    </row>
    <row r="189" spans="3:14" x14ac:dyDescent="0.25">
      <c r="C189" s="8">
        <f>ROW()</f>
        <v>189</v>
      </c>
      <c r="D189" s="12"/>
      <c r="E189" s="9"/>
      <c r="F189" s="19"/>
      <c r="G189" s="9"/>
      <c r="H189" s="9"/>
      <c r="I189" s="19"/>
      <c r="J189" s="10"/>
      <c r="K189" s="11"/>
      <c r="L189" s="13"/>
      <c r="M189" s="20"/>
      <c r="N189" s="20"/>
    </row>
    <row r="190" spans="3:14" x14ac:dyDescent="0.25">
      <c r="C190" s="8">
        <f>ROW()</f>
        <v>190</v>
      </c>
      <c r="D190" s="12"/>
      <c r="E190" s="9"/>
      <c r="F190" s="19"/>
      <c r="G190" s="9"/>
      <c r="H190" s="9"/>
      <c r="I190" s="19"/>
      <c r="J190" s="10"/>
      <c r="K190" s="11"/>
      <c r="L190" s="13"/>
      <c r="M190" s="20"/>
      <c r="N190" s="20"/>
    </row>
    <row r="191" spans="3:14" x14ac:dyDescent="0.25">
      <c r="C191" s="8">
        <f>ROW()</f>
        <v>191</v>
      </c>
      <c r="D191" s="12"/>
      <c r="E191" s="9"/>
      <c r="F191" s="19"/>
      <c r="G191" s="9"/>
      <c r="H191" s="9"/>
      <c r="I191" s="19"/>
      <c r="J191" s="10"/>
      <c r="K191" s="11"/>
      <c r="L191" s="13"/>
      <c r="M191" s="20"/>
      <c r="N191" s="20"/>
    </row>
    <row r="192" spans="3:14" x14ac:dyDescent="0.25">
      <c r="C192" s="8">
        <f>ROW()</f>
        <v>192</v>
      </c>
      <c r="D192" s="12"/>
      <c r="E192" s="9"/>
      <c r="F192" s="19"/>
      <c r="G192" s="9"/>
      <c r="H192" s="9"/>
      <c r="I192" s="19"/>
      <c r="J192" s="10"/>
      <c r="K192" s="11"/>
      <c r="L192" s="13"/>
      <c r="M192" s="20"/>
      <c r="N192" s="20"/>
    </row>
    <row r="193" spans="3:14" x14ac:dyDescent="0.25">
      <c r="C193" s="8">
        <f>ROW()</f>
        <v>193</v>
      </c>
      <c r="D193" s="12"/>
      <c r="E193" s="9"/>
      <c r="F193" s="19"/>
      <c r="G193" s="9"/>
      <c r="H193" s="9"/>
      <c r="I193" s="19"/>
      <c r="J193" s="10"/>
      <c r="K193" s="11"/>
      <c r="L193" s="13"/>
      <c r="M193" s="20"/>
      <c r="N193" s="20"/>
    </row>
    <row r="194" spans="3:14" x14ac:dyDescent="0.25">
      <c r="C194" s="8">
        <f>ROW()</f>
        <v>194</v>
      </c>
      <c r="D194" s="12"/>
      <c r="E194" s="9"/>
      <c r="F194" s="19"/>
      <c r="G194" s="9"/>
      <c r="H194" s="9"/>
      <c r="I194" s="19"/>
      <c r="J194" s="10"/>
      <c r="K194" s="11"/>
      <c r="L194" s="13"/>
      <c r="M194" s="20"/>
      <c r="N194" s="20"/>
    </row>
    <row r="195" spans="3:14" x14ac:dyDescent="0.25">
      <c r="C195" s="8">
        <f>ROW()</f>
        <v>195</v>
      </c>
      <c r="D195" s="12"/>
      <c r="E195" s="9"/>
      <c r="F195" s="19"/>
      <c r="G195" s="9"/>
      <c r="H195" s="9"/>
      <c r="I195" s="19"/>
      <c r="J195" s="10"/>
      <c r="K195" s="11"/>
      <c r="L195" s="13"/>
      <c r="M195" s="20"/>
      <c r="N195" s="20"/>
    </row>
    <row r="196" spans="3:14" x14ac:dyDescent="0.25">
      <c r="C196" s="8">
        <f>ROW()</f>
        <v>196</v>
      </c>
      <c r="D196" s="12"/>
      <c r="E196" s="9"/>
      <c r="F196" s="19"/>
      <c r="G196" s="9"/>
      <c r="H196" s="9"/>
      <c r="I196" s="19"/>
      <c r="J196" s="10"/>
      <c r="K196" s="11"/>
      <c r="L196" s="13"/>
      <c r="M196" s="20"/>
      <c r="N196" s="20"/>
    </row>
    <row r="197" spans="3:14" x14ac:dyDescent="0.25">
      <c r="C197" s="8">
        <f>ROW()</f>
        <v>197</v>
      </c>
      <c r="D197" s="12"/>
      <c r="E197" s="9"/>
      <c r="F197" s="19"/>
      <c r="G197" s="9"/>
      <c r="H197" s="9"/>
      <c r="I197" s="19"/>
      <c r="J197" s="10"/>
      <c r="K197" s="11"/>
      <c r="L197" s="13"/>
      <c r="M197" s="20"/>
      <c r="N197" s="20"/>
    </row>
    <row r="198" spans="3:14" x14ac:dyDescent="0.25">
      <c r="C198" s="8">
        <f>ROW()</f>
        <v>198</v>
      </c>
      <c r="D198" s="12"/>
      <c r="E198" s="9"/>
      <c r="F198" s="19"/>
      <c r="G198" s="9"/>
      <c r="H198" s="9"/>
      <c r="I198" s="19"/>
      <c r="J198" s="10"/>
      <c r="K198" s="11"/>
      <c r="L198" s="13"/>
      <c r="M198" s="20"/>
      <c r="N198" s="20"/>
    </row>
    <row r="199" spans="3:14" x14ac:dyDescent="0.25">
      <c r="C199" s="8">
        <f>ROW()</f>
        <v>199</v>
      </c>
      <c r="D199" s="12"/>
      <c r="E199" s="9"/>
      <c r="F199" s="19"/>
      <c r="G199" s="9"/>
      <c r="H199" s="9"/>
      <c r="I199" s="19"/>
      <c r="J199" s="10"/>
      <c r="K199" s="11"/>
      <c r="L199" s="13"/>
      <c r="M199" s="20"/>
      <c r="N199" s="20"/>
    </row>
    <row r="200" spans="3:14" x14ac:dyDescent="0.25">
      <c r="C200" s="8">
        <f>ROW()</f>
        <v>200</v>
      </c>
      <c r="D200" s="12"/>
      <c r="E200" s="9"/>
      <c r="F200" s="19"/>
      <c r="G200" s="9"/>
      <c r="H200" s="9"/>
      <c r="I200" s="19"/>
      <c r="J200" s="10"/>
      <c r="K200" s="11"/>
      <c r="L200" s="13"/>
      <c r="M200" s="20"/>
      <c r="N200" s="20"/>
    </row>
  </sheetData>
  <mergeCells count="2">
    <mergeCell ref="M12:N12"/>
    <mergeCell ref="D2:N2"/>
  </mergeCells>
  <conditionalFormatting sqref="L1 L7:L1048576 L3:L5">
    <cfRule type="cellIs" dxfId="74" priority="10" operator="equal">
      <formula>"INCUMPLIDO"</formula>
    </cfRule>
    <cfRule type="cellIs" dxfId="73" priority="11" operator="equal">
      <formula>"REZAGADO"</formula>
    </cfRule>
    <cfRule type="cellIs" dxfId="72" priority="12" operator="equal">
      <formula>"ACEPTABLE"</formula>
    </cfRule>
    <cfRule type="cellIs" dxfId="71" priority="13" operator="equal">
      <formula>"SATISFACTORIO"</formula>
    </cfRule>
  </conditionalFormatting>
  <conditionalFormatting sqref="D14:K200">
    <cfRule type="expression" dxfId="70" priority="3">
      <formula>$D14="TOTAL GENERAL"</formula>
    </cfRule>
    <cfRule type="expression" dxfId="69" priority="4">
      <formula>$D14="TOTAL EFICACIA ACP"</formula>
    </cfRule>
  </conditionalFormatting>
  <conditionalFormatting sqref="K14:K200">
    <cfRule type="expression" dxfId="68" priority="2">
      <formula>$K14&lt;0</formula>
    </cfRule>
  </conditionalFormatting>
  <conditionalFormatting sqref="D14:N200">
    <cfRule type="expression" dxfId="67" priority="1">
      <formula>$D13&lt;&gt;""</formula>
    </cfRule>
  </conditionalFormatting>
  <dataValidations count="1">
    <dataValidation allowBlank="1" showInputMessage="1" showErrorMessage="1" errorTitle="Kronos" error="El nombre de la empresa está incorrecto. Verifique que coincida con una empresa permitida por el sistema." sqref="F14:F200"/>
  </dataValidations>
  <pageMargins left="0.7" right="0.7" top="0.75" bottom="0.75" header="0.3" footer="0.3"/>
  <pageSetup scale="35" fitToHeight="0" orientation="landscape"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pageSetUpPr fitToPage="1"/>
  </sheetPr>
  <dimension ref="A1:N30"/>
  <sheetViews>
    <sheetView topLeftCell="E1" zoomScale="80" zoomScaleNormal="80" workbookViewId="0">
      <selection activeCell="E14" sqref="E14"/>
    </sheetView>
  </sheetViews>
  <sheetFormatPr baseColWidth="10" defaultRowHeight="15" x14ac:dyDescent="0.25"/>
  <cols>
    <col min="1" max="2" width="4.28515625" hidden="1" customWidth="1"/>
    <col min="3" max="3" width="5.5703125" hidden="1" customWidth="1"/>
    <col min="4" max="4" width="21.85546875" hidden="1" customWidth="1"/>
    <col min="5" max="5" width="24.140625" customWidth="1"/>
    <col min="6" max="6" width="48.42578125" customWidth="1"/>
    <col min="7" max="7" width="14" customWidth="1"/>
    <col min="8" max="8" width="16.5703125" customWidth="1"/>
    <col min="9" max="9" width="16" customWidth="1"/>
    <col min="10" max="10" width="16.42578125" customWidth="1"/>
    <col min="11" max="11" width="16.85546875" customWidth="1"/>
    <col min="12" max="12" width="22.7109375" customWidth="1"/>
    <col min="13" max="13" width="16.140625" customWidth="1"/>
    <col min="14" max="14" width="16.5703125" customWidth="1"/>
  </cols>
  <sheetData>
    <row r="1" spans="1:14" x14ac:dyDescent="0.25">
      <c r="C1" s="1"/>
      <c r="D1" s="1"/>
      <c r="E1" s="1"/>
      <c r="F1" s="1"/>
      <c r="G1" s="1"/>
      <c r="H1" s="1"/>
      <c r="I1" s="1"/>
      <c r="J1" s="1"/>
      <c r="K1" s="1"/>
      <c r="L1" s="1"/>
      <c r="M1" s="1"/>
      <c r="N1" s="1"/>
    </row>
    <row r="2" spans="1:14" ht="66.75" customHeight="1" x14ac:dyDescent="0.25">
      <c r="C2" s="5" t="s">
        <v>95</v>
      </c>
      <c r="D2" s="1"/>
      <c r="E2" s="37" t="str">
        <f>SUBSTITUTE(SUBSTITUTE(C2,"$POA$",'ACP-OPER'!A6),"$MES$",'ACP-OPER'!B6)</f>
        <v>Seguimiento y Evaluación de las Acciones de Corto Plazo del 
PLAN OPERATIVO ANUAL (POA) 2024 al mes de MARZO
Eficacia promedio ponderada por Acción de Corto Plazo</v>
      </c>
      <c r="F2" s="37"/>
      <c r="G2" s="37"/>
      <c r="H2" s="37"/>
      <c r="I2" s="37"/>
      <c r="J2" s="37"/>
      <c r="K2" s="37"/>
      <c r="L2" s="37"/>
      <c r="M2" s="37"/>
      <c r="N2" s="37"/>
    </row>
    <row r="3" spans="1:14" ht="9" customHeight="1" x14ac:dyDescent="0.25">
      <c r="C3" s="1"/>
      <c r="D3" s="1"/>
      <c r="E3" s="2"/>
      <c r="F3" s="2"/>
      <c r="G3" s="2"/>
      <c r="H3" s="2"/>
      <c r="I3" s="2"/>
      <c r="J3" s="2"/>
      <c r="K3" s="2"/>
      <c r="L3" s="2"/>
      <c r="M3" s="2"/>
      <c r="N3" s="2"/>
    </row>
    <row r="4" spans="1:14" ht="15" hidden="1" customHeight="1" x14ac:dyDescent="0.25">
      <c r="C4" s="1"/>
      <c r="D4" s="1"/>
      <c r="E4" s="2"/>
      <c r="F4" s="2"/>
      <c r="G4" s="2"/>
      <c r="H4" s="2"/>
      <c r="I4" s="2"/>
      <c r="J4" s="2"/>
      <c r="K4" s="2"/>
      <c r="L4" s="2"/>
      <c r="M4" s="2"/>
      <c r="N4" s="2"/>
    </row>
    <row r="5" spans="1:14" ht="15" hidden="1" customHeight="1" x14ac:dyDescent="0.25">
      <c r="C5" s="1"/>
      <c r="D5" s="1"/>
      <c r="E5" s="1"/>
      <c r="F5" s="1"/>
      <c r="G5" s="3"/>
      <c r="H5" s="3"/>
      <c r="I5" s="3"/>
      <c r="J5" s="3"/>
      <c r="K5" s="3"/>
      <c r="L5" s="3"/>
      <c r="M5" s="3"/>
      <c r="N5" s="3"/>
    </row>
    <row r="6" spans="1:14" ht="27.75" hidden="1" customHeight="1" x14ac:dyDescent="0.25">
      <c r="A6" s="8"/>
      <c r="B6" s="4"/>
      <c r="E6" s="1"/>
    </row>
    <row r="7" spans="1:14" ht="18.75" hidden="1" customHeight="1" x14ac:dyDescent="0.25">
      <c r="C7" s="4"/>
      <c r="E7" s="1"/>
      <c r="F7" s="1"/>
      <c r="G7" s="1"/>
      <c r="H7" s="1"/>
      <c r="I7" s="1"/>
      <c r="J7" s="1"/>
      <c r="K7" s="1"/>
      <c r="L7" s="1"/>
      <c r="M7" s="1"/>
      <c r="N7" s="1"/>
    </row>
    <row r="8" spans="1:14" ht="22.5" hidden="1" customHeight="1" x14ac:dyDescent="0.25"/>
    <row r="9" spans="1:14" ht="19.5" hidden="1" customHeight="1" x14ac:dyDescent="0.25"/>
    <row r="10" spans="1:14" hidden="1" x14ac:dyDescent="0.25"/>
    <row r="11" spans="1:14" hidden="1" x14ac:dyDescent="0.25"/>
    <row r="12" spans="1:14" ht="34.5" hidden="1" customHeight="1" x14ac:dyDescent="0.25"/>
    <row r="13" spans="1:14" ht="72" customHeight="1" x14ac:dyDescent="0.25">
      <c r="C13" s="7" t="s">
        <v>25</v>
      </c>
      <c r="D13" s="7" t="s">
        <v>7</v>
      </c>
      <c r="E13" s="24" t="s">
        <v>89</v>
      </c>
      <c r="F13" s="24" t="s">
        <v>0</v>
      </c>
      <c r="G13" s="24" t="s">
        <v>3</v>
      </c>
      <c r="H13" s="24" t="s">
        <v>93</v>
      </c>
      <c r="I13" s="24" t="s">
        <v>9</v>
      </c>
      <c r="J13" s="24" t="s">
        <v>10</v>
      </c>
      <c r="K13" s="24" t="s">
        <v>94</v>
      </c>
      <c r="L13" s="24" t="s">
        <v>2</v>
      </c>
      <c r="M13" s="24" t="s">
        <v>11</v>
      </c>
      <c r="N13" s="24" t="s">
        <v>12</v>
      </c>
    </row>
    <row r="14" spans="1:14" ht="60" x14ac:dyDescent="0.25">
      <c r="C14" s="8">
        <f>ROW()</f>
        <v>14</v>
      </c>
      <c r="D14" s="12"/>
      <c r="E14" s="34" t="s">
        <v>104</v>
      </c>
      <c r="F14" s="20" t="s">
        <v>84</v>
      </c>
      <c r="G14" s="11">
        <v>0.01</v>
      </c>
      <c r="H14" s="13" t="s">
        <v>20</v>
      </c>
      <c r="I14" s="11"/>
      <c r="J14" s="11"/>
      <c r="K14" s="13"/>
      <c r="L14" s="10"/>
      <c r="M14" s="10"/>
      <c r="N14" s="11"/>
    </row>
    <row r="15" spans="1:14" ht="60" x14ac:dyDescent="0.25">
      <c r="C15" s="8">
        <f>ROW()</f>
        <v>15</v>
      </c>
      <c r="D15" s="13"/>
      <c r="E15" s="34" t="s">
        <v>105</v>
      </c>
      <c r="F15" s="20" t="s">
        <v>84</v>
      </c>
      <c r="G15" s="11">
        <v>0.02</v>
      </c>
      <c r="H15" s="13" t="s">
        <v>21</v>
      </c>
      <c r="I15" s="11"/>
      <c r="J15" s="11"/>
      <c r="K15" s="13"/>
      <c r="L15" s="14"/>
      <c r="M15" s="14"/>
      <c r="N15" s="11"/>
    </row>
    <row r="16" spans="1:14" ht="60" x14ac:dyDescent="0.25">
      <c r="C16" s="8">
        <f>ROW()</f>
        <v>16</v>
      </c>
      <c r="D16" s="13"/>
      <c r="E16" s="34" t="s">
        <v>106</v>
      </c>
      <c r="F16" s="20" t="s">
        <v>84</v>
      </c>
      <c r="G16" s="11">
        <v>0.03</v>
      </c>
      <c r="H16" s="13" t="s">
        <v>23</v>
      </c>
      <c r="I16" s="11"/>
      <c r="J16" s="11"/>
      <c r="K16" s="13"/>
      <c r="L16" s="14"/>
      <c r="M16" s="14"/>
      <c r="N16" s="11"/>
    </row>
    <row r="17" spans="3:14" ht="60" x14ac:dyDescent="0.25">
      <c r="C17" s="8">
        <f>ROW()</f>
        <v>17</v>
      </c>
      <c r="D17" s="13"/>
      <c r="E17" s="34" t="s">
        <v>107</v>
      </c>
      <c r="F17" s="20" t="s">
        <v>84</v>
      </c>
      <c r="G17" s="11">
        <v>0.04</v>
      </c>
      <c r="H17" s="13" t="s">
        <v>22</v>
      </c>
      <c r="I17" s="11"/>
      <c r="J17" s="11"/>
      <c r="K17" s="13"/>
      <c r="L17" s="14"/>
      <c r="M17" s="14"/>
      <c r="N17" s="11"/>
    </row>
    <row r="18" spans="3:14" x14ac:dyDescent="0.25">
      <c r="C18" s="35">
        <f>ROW()</f>
        <v>18</v>
      </c>
      <c r="D18" s="13"/>
      <c r="E18" s="34" t="s">
        <v>108</v>
      </c>
      <c r="F18" s="20"/>
      <c r="G18" s="11"/>
      <c r="H18" s="13"/>
      <c r="I18" s="11"/>
      <c r="J18" s="11"/>
      <c r="K18" s="13"/>
      <c r="L18" s="14"/>
      <c r="M18" s="14"/>
      <c r="N18" s="11"/>
    </row>
    <row r="19" spans="3:14" x14ac:dyDescent="0.25">
      <c r="C19" s="35">
        <f>ROW()</f>
        <v>19</v>
      </c>
      <c r="D19" s="13"/>
      <c r="E19" s="34" t="s">
        <v>109</v>
      </c>
      <c r="F19" s="20"/>
      <c r="G19" s="11"/>
      <c r="H19" s="13"/>
      <c r="I19" s="11"/>
      <c r="J19" s="11"/>
      <c r="K19" s="13"/>
      <c r="L19" s="14"/>
      <c r="M19" s="14"/>
      <c r="N19" s="11"/>
    </row>
    <row r="20" spans="3:14" x14ac:dyDescent="0.25">
      <c r="C20" s="35">
        <f>ROW()</f>
        <v>20</v>
      </c>
      <c r="D20" s="13"/>
      <c r="E20" s="34" t="s">
        <v>110</v>
      </c>
      <c r="F20" s="20"/>
      <c r="G20" s="11"/>
      <c r="H20" s="13"/>
      <c r="I20" s="11"/>
      <c r="J20" s="11"/>
      <c r="K20" s="13"/>
      <c r="L20" s="14"/>
      <c r="M20" s="14"/>
      <c r="N20" s="11"/>
    </row>
    <row r="21" spans="3:14" x14ac:dyDescent="0.25">
      <c r="C21" s="35">
        <f>ROW()</f>
        <v>21</v>
      </c>
      <c r="D21" s="13"/>
      <c r="E21" s="34" t="s">
        <v>111</v>
      </c>
      <c r="F21" s="20"/>
      <c r="G21" s="11"/>
      <c r="H21" s="13"/>
      <c r="I21" s="11"/>
      <c r="J21" s="11"/>
      <c r="K21" s="13"/>
      <c r="L21" s="14"/>
      <c r="M21" s="14"/>
      <c r="N21" s="11"/>
    </row>
    <row r="22" spans="3:14" x14ac:dyDescent="0.25">
      <c r="C22" s="35">
        <f>ROW()</f>
        <v>22</v>
      </c>
      <c r="D22" s="13"/>
      <c r="E22" s="34" t="s">
        <v>112</v>
      </c>
      <c r="F22" s="20"/>
      <c r="G22" s="11"/>
      <c r="H22" s="13"/>
      <c r="I22" s="11"/>
      <c r="J22" s="11"/>
      <c r="K22" s="13"/>
      <c r="L22" s="14"/>
      <c r="M22" s="14"/>
      <c r="N22" s="11"/>
    </row>
    <row r="23" spans="3:14" ht="60" customHeight="1" x14ac:dyDescent="0.25">
      <c r="C23" s="35">
        <f>ROW()</f>
        <v>23</v>
      </c>
      <c r="D23" s="13"/>
      <c r="E23" s="34" t="s">
        <v>113</v>
      </c>
      <c r="F23" s="20"/>
      <c r="G23" s="11"/>
      <c r="H23" s="13"/>
      <c r="I23" s="11"/>
      <c r="J23" s="11"/>
      <c r="K23" s="13"/>
      <c r="L23" s="14"/>
      <c r="M23" s="14"/>
      <c r="N23" s="11"/>
    </row>
    <row r="24" spans="3:14" x14ac:dyDescent="0.25">
      <c r="C24" s="35">
        <f>ROW()</f>
        <v>24</v>
      </c>
      <c r="D24" s="13"/>
      <c r="E24" s="34"/>
      <c r="F24" s="20"/>
      <c r="G24" s="11"/>
      <c r="H24" s="13"/>
      <c r="I24" s="11"/>
      <c r="J24" s="11"/>
      <c r="K24" s="13"/>
      <c r="L24" s="14"/>
      <c r="M24" s="14"/>
      <c r="N24" s="11"/>
    </row>
    <row r="25" spans="3:14" x14ac:dyDescent="0.25">
      <c r="C25" s="35">
        <f>ROW()</f>
        <v>25</v>
      </c>
      <c r="D25" s="13"/>
      <c r="E25" s="34"/>
      <c r="F25" s="20"/>
      <c r="G25" s="11"/>
      <c r="H25" s="13"/>
      <c r="I25" s="11"/>
      <c r="J25" s="11"/>
      <c r="K25" s="13"/>
      <c r="L25" s="14"/>
      <c r="M25" s="14"/>
      <c r="N25" s="11"/>
    </row>
    <row r="26" spans="3:14" x14ac:dyDescent="0.25">
      <c r="C26" s="35">
        <f>ROW()</f>
        <v>26</v>
      </c>
      <c r="D26" s="13"/>
      <c r="E26" s="34"/>
      <c r="F26" s="20"/>
      <c r="G26" s="11"/>
      <c r="H26" s="13"/>
      <c r="I26" s="11"/>
      <c r="J26" s="11"/>
      <c r="K26" s="13"/>
      <c r="L26" s="14"/>
      <c r="M26" s="14"/>
      <c r="N26" s="11"/>
    </row>
    <row r="27" spans="3:14" x14ac:dyDescent="0.25">
      <c r="C27" s="35">
        <f>ROW()</f>
        <v>27</v>
      </c>
      <c r="D27" s="13"/>
      <c r="E27" s="34"/>
      <c r="F27" s="20"/>
      <c r="G27" s="11"/>
      <c r="H27" s="13"/>
      <c r="I27" s="11"/>
      <c r="J27" s="11"/>
      <c r="K27" s="13"/>
      <c r="L27" s="14"/>
      <c r="M27" s="14"/>
      <c r="N27" s="11"/>
    </row>
    <row r="28" spans="3:14" x14ac:dyDescent="0.25">
      <c r="C28" s="35">
        <f>ROW()</f>
        <v>28</v>
      </c>
      <c r="D28" s="13"/>
      <c r="E28" s="34"/>
      <c r="F28" s="20"/>
      <c r="G28" s="11"/>
      <c r="H28" s="13"/>
      <c r="I28" s="11"/>
      <c r="J28" s="11"/>
      <c r="K28" s="13"/>
      <c r="L28" s="14"/>
      <c r="M28" s="14"/>
      <c r="N28" s="11"/>
    </row>
    <row r="29" spans="3:14" x14ac:dyDescent="0.25">
      <c r="C29" s="35">
        <f>ROW()</f>
        <v>29</v>
      </c>
      <c r="D29" s="13"/>
      <c r="E29" s="34"/>
      <c r="F29" s="20"/>
      <c r="G29" s="11"/>
      <c r="H29" s="13"/>
      <c r="I29" s="11"/>
      <c r="J29" s="11"/>
      <c r="K29" s="13"/>
      <c r="L29" s="14"/>
      <c r="M29" s="14"/>
      <c r="N29" s="11"/>
    </row>
    <row r="30" spans="3:14" x14ac:dyDescent="0.25">
      <c r="C30" s="35">
        <f>ROW()</f>
        <v>30</v>
      </c>
      <c r="D30" s="13"/>
      <c r="E30" s="34"/>
      <c r="F30" s="20"/>
      <c r="G30" s="11"/>
      <c r="H30" s="13"/>
      <c r="I30" s="11"/>
      <c r="J30" s="11"/>
      <c r="K30" s="13"/>
      <c r="L30" s="14"/>
      <c r="M30" s="14"/>
      <c r="N30" s="11"/>
    </row>
  </sheetData>
  <mergeCells count="1">
    <mergeCell ref="E2:N2"/>
  </mergeCells>
  <conditionalFormatting sqref="D14:D30">
    <cfRule type="expression" dxfId="50" priority="8">
      <formula>$D14="TOTAL EFICACIA ACP"</formula>
    </cfRule>
  </conditionalFormatting>
  <conditionalFormatting sqref="D14:G30 I14:J30 L14:N30">
    <cfRule type="expression" dxfId="49" priority="7">
      <formula>$D14="TOTAL GENERAL"</formula>
    </cfRule>
  </conditionalFormatting>
  <conditionalFormatting sqref="H14:H30 K14:K30">
    <cfRule type="cellIs" dxfId="48" priority="3" operator="equal">
      <formula>"INCUMPLIDO"</formula>
    </cfRule>
    <cfRule type="cellIs" dxfId="47" priority="4" operator="equal">
      <formula>"REZAGADO"</formula>
    </cfRule>
    <cfRule type="cellIs" dxfId="46" priority="5" operator="equal">
      <formula>"ACEPTABLE"</formula>
    </cfRule>
    <cfRule type="cellIs" dxfId="45" priority="6" operator="equal">
      <formula>"SATISFACTORIO"</formula>
    </cfRule>
  </conditionalFormatting>
  <conditionalFormatting sqref="E14:N30">
    <cfRule type="expression" dxfId="44" priority="1">
      <formula>$E14&lt;&gt;""</formula>
    </cfRule>
  </conditionalFormatting>
  <dataValidations count="1">
    <dataValidation allowBlank="1" showInputMessage="1" showErrorMessage="1" errorTitle="Kronos" error="El nombre de la empresa está incorrecto. Verifique que coincida con una empresa permitida por el sistema." sqref="F14:F30"/>
  </dataValidations>
  <pageMargins left="0.70866141732283472" right="0.70866141732283472" top="0.74803149606299213" bottom="0.74803149606299213" header="0.31496062992125984" footer="0.31496062992125984"/>
  <pageSetup scale="59" fitToHeight="0" orientation="landscape"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pageSetUpPr fitToPage="1"/>
  </sheetPr>
  <dimension ref="A1:N30"/>
  <sheetViews>
    <sheetView topLeftCell="E1" zoomScale="80" zoomScaleNormal="80" workbookViewId="0">
      <selection activeCell="O15" sqref="O15"/>
    </sheetView>
  </sheetViews>
  <sheetFormatPr baseColWidth="10" defaultRowHeight="15" x14ac:dyDescent="0.25"/>
  <cols>
    <col min="1" max="1" width="4.28515625" style="15" hidden="1" customWidth="1"/>
    <col min="2" max="2" width="4.28515625" style="15" hidden="1" customWidth="1" collapsed="1"/>
    <col min="3" max="3" width="2.28515625" style="15" hidden="1" customWidth="1"/>
    <col min="4" max="4" width="21.85546875" style="15" hidden="1" customWidth="1"/>
    <col min="5" max="5" width="20.140625" style="15" customWidth="1"/>
    <col min="6" max="6" width="31.5703125" style="15" customWidth="1"/>
    <col min="7" max="7" width="30.5703125" style="15" customWidth="1"/>
    <col min="8" max="8" width="23.140625" style="15" customWidth="1"/>
    <col min="9" max="9" width="11.28515625" style="15" customWidth="1"/>
    <col min="10" max="10" width="11.42578125" style="15" customWidth="1"/>
    <col min="11" max="12" width="12.85546875" style="15" customWidth="1"/>
    <col min="13" max="13" width="13" style="15" customWidth="1"/>
    <col min="14" max="14" width="18.7109375" style="15" customWidth="1"/>
  </cols>
  <sheetData>
    <row r="1" spans="3:14" x14ac:dyDescent="0.25">
      <c r="C1" s="1"/>
      <c r="D1" s="1"/>
      <c r="E1" s="1"/>
      <c r="F1" s="1"/>
      <c r="G1" s="1"/>
      <c r="H1" s="1"/>
      <c r="I1" s="1"/>
      <c r="J1" s="1"/>
      <c r="K1" s="1"/>
      <c r="L1" s="1"/>
      <c r="M1" s="1"/>
      <c r="N1" s="1"/>
    </row>
    <row r="2" spans="3:14" ht="119.25" customHeight="1" x14ac:dyDescent="0.25">
      <c r="C2" s="5" t="s">
        <v>87</v>
      </c>
      <c r="D2" s="1"/>
      <c r="E2" s="37" t="str">
        <f>SUBSTITUTE(SUBSTITUTE('ACP-POND'!C2,"$POA$",'ACP-OPER'!A6),"$MES$",'ACP-OPER'!B6)</f>
        <v>Seguimiento y Evaluación de las Acciones de Corto Plazo del 
PLAN OPERATIVO ANUAL (POA) 2024 al mes de MARZO
Eficacia promedio ponderada por Acción de Corto Plazo</v>
      </c>
      <c r="F2" s="37"/>
      <c r="G2" s="37"/>
      <c r="H2" s="37"/>
      <c r="I2" s="37"/>
      <c r="J2" s="37"/>
      <c r="K2" s="37"/>
      <c r="L2" s="37"/>
      <c r="M2" s="37"/>
      <c r="N2" s="37"/>
    </row>
    <row r="3" spans="3:14" ht="15" customHeight="1" x14ac:dyDescent="0.25">
      <c r="C3" s="1"/>
      <c r="D3" s="1"/>
      <c r="E3" s="2"/>
      <c r="F3" s="2"/>
      <c r="G3" s="2"/>
      <c r="H3" s="2"/>
      <c r="I3" s="2"/>
      <c r="J3" s="2"/>
      <c r="K3" s="2"/>
      <c r="L3" s="2"/>
      <c r="M3" s="2"/>
      <c r="N3" s="2"/>
    </row>
    <row r="4" spans="3:14" ht="15" customHeight="1" x14ac:dyDescent="0.25">
      <c r="C4" s="1"/>
      <c r="D4" s="1"/>
      <c r="E4" s="2"/>
      <c r="F4" s="2"/>
      <c r="G4" s="2"/>
      <c r="H4" s="2"/>
      <c r="I4" s="2"/>
      <c r="J4" s="2"/>
      <c r="K4" s="2"/>
      <c r="L4" s="2"/>
      <c r="M4" s="2"/>
      <c r="N4" s="2"/>
    </row>
    <row r="5" spans="3:14" ht="15" customHeight="1" x14ac:dyDescent="0.25">
      <c r="C5" s="1"/>
      <c r="D5" s="1"/>
      <c r="E5" s="1"/>
      <c r="F5" s="1"/>
      <c r="G5" s="3"/>
      <c r="H5" s="3"/>
      <c r="I5" s="3"/>
      <c r="J5" s="3"/>
      <c r="K5" s="3"/>
      <c r="L5" s="3"/>
      <c r="M5" s="3"/>
      <c r="N5" s="3"/>
    </row>
    <row r="6" spans="3:14" ht="18.75" hidden="1" customHeight="1" x14ac:dyDescent="0.25">
      <c r="C6" s="4"/>
      <c r="E6" s="1"/>
      <c r="F6" s="1"/>
      <c r="G6" s="1"/>
      <c r="H6" s="1"/>
      <c r="I6" s="1"/>
      <c r="J6" s="1"/>
      <c r="K6" s="1"/>
      <c r="L6" s="1"/>
      <c r="M6" s="1"/>
      <c r="N6" s="1"/>
    </row>
    <row r="7" spans="3:14" ht="22.5" hidden="1" customHeight="1" x14ac:dyDescent="0.25"/>
    <row r="8" spans="3:14" ht="19.5" hidden="1" customHeight="1" x14ac:dyDescent="0.25"/>
    <row r="9" spans="3:14" hidden="1" x14ac:dyDescent="0.25"/>
    <row r="10" spans="3:14" hidden="1" x14ac:dyDescent="0.25"/>
    <row r="11" spans="3:14" ht="34.5" hidden="1" customHeight="1" x14ac:dyDescent="0.25"/>
    <row r="13" spans="3:14" x14ac:dyDescent="0.25">
      <c r="G13" s="16" t="s">
        <v>17</v>
      </c>
      <c r="H13" s="16" t="s">
        <v>18</v>
      </c>
      <c r="I13"/>
      <c r="J13"/>
      <c r="K13"/>
      <c r="L13"/>
      <c r="M13"/>
    </row>
    <row r="14" spans="3:14" x14ac:dyDescent="0.25">
      <c r="G14" s="16" t="s">
        <v>19</v>
      </c>
      <c r="H14" t="s">
        <v>20</v>
      </c>
      <c r="I14" t="s">
        <v>21</v>
      </c>
      <c r="J14" t="s">
        <v>23</v>
      </c>
      <c r="K14" t="s">
        <v>22</v>
      </c>
      <c r="L14"/>
      <c r="M14"/>
    </row>
    <row r="15" spans="3:14" x14ac:dyDescent="0.25">
      <c r="G15" s="33">
        <v>14</v>
      </c>
      <c r="H15" s="17"/>
      <c r="I15" s="17"/>
      <c r="J15" s="17"/>
      <c r="K15" s="17"/>
      <c r="L15"/>
      <c r="M15"/>
    </row>
    <row r="16" spans="3:14" x14ac:dyDescent="0.25">
      <c r="G16" s="32" t="s">
        <v>104</v>
      </c>
      <c r="H16" s="17">
        <v>0.01</v>
      </c>
      <c r="I16" s="17"/>
      <c r="J16" s="17"/>
      <c r="K16" s="17"/>
      <c r="L16"/>
      <c r="M16"/>
    </row>
    <row r="17" spans="7:13" x14ac:dyDescent="0.25">
      <c r="G17" s="33">
        <v>15</v>
      </c>
      <c r="H17" s="17"/>
      <c r="I17" s="17"/>
      <c r="J17" s="17"/>
      <c r="K17" s="17"/>
      <c r="L17"/>
      <c r="M17"/>
    </row>
    <row r="18" spans="7:13" x14ac:dyDescent="0.25">
      <c r="G18" s="32" t="s">
        <v>105</v>
      </c>
      <c r="H18" s="17"/>
      <c r="I18" s="17">
        <v>0.02</v>
      </c>
      <c r="J18" s="17"/>
      <c r="K18" s="17"/>
      <c r="L18"/>
      <c r="M18"/>
    </row>
    <row r="19" spans="7:13" x14ac:dyDescent="0.25">
      <c r="G19" s="33">
        <v>16</v>
      </c>
      <c r="H19" s="17"/>
      <c r="I19" s="17"/>
      <c r="J19" s="17"/>
      <c r="K19" s="17"/>
      <c r="L19"/>
      <c r="M19"/>
    </row>
    <row r="20" spans="7:13" x14ac:dyDescent="0.25">
      <c r="G20" s="32" t="s">
        <v>106</v>
      </c>
      <c r="H20" s="17"/>
      <c r="I20" s="17"/>
      <c r="J20" s="17">
        <v>0.03</v>
      </c>
      <c r="K20" s="17"/>
      <c r="L20"/>
      <c r="M20"/>
    </row>
    <row r="21" spans="7:13" x14ac:dyDescent="0.25">
      <c r="G21" s="33">
        <v>17</v>
      </c>
      <c r="H21" s="17"/>
      <c r="I21" s="17"/>
      <c r="J21" s="17"/>
      <c r="K21" s="17"/>
      <c r="L21"/>
      <c r="M21"/>
    </row>
    <row r="22" spans="7:13" x14ac:dyDescent="0.25">
      <c r="G22" s="32" t="s">
        <v>107</v>
      </c>
      <c r="H22" s="17"/>
      <c r="I22" s="17"/>
      <c r="J22" s="17"/>
      <c r="K22" s="17">
        <v>0.04</v>
      </c>
      <c r="L22"/>
      <c r="M22"/>
    </row>
    <row r="23" spans="7:13" x14ac:dyDescent="0.25">
      <c r="G23"/>
      <c r="H23"/>
      <c r="I23"/>
      <c r="J23"/>
      <c r="K23"/>
      <c r="L23"/>
      <c r="M23"/>
    </row>
    <row r="24" spans="7:13" x14ac:dyDescent="0.25">
      <c r="G24"/>
      <c r="H24"/>
      <c r="I24"/>
      <c r="J24"/>
      <c r="K24"/>
      <c r="L24"/>
      <c r="M24"/>
    </row>
    <row r="25" spans="7:13" x14ac:dyDescent="0.25">
      <c r="G25"/>
      <c r="H25"/>
      <c r="I25"/>
      <c r="J25"/>
      <c r="K25"/>
      <c r="L25"/>
      <c r="M25"/>
    </row>
    <row r="26" spans="7:13" x14ac:dyDescent="0.25">
      <c r="G26"/>
      <c r="H26"/>
      <c r="I26"/>
    </row>
    <row r="27" spans="7:13" x14ac:dyDescent="0.25">
      <c r="G27"/>
      <c r="H27"/>
      <c r="I27"/>
    </row>
    <row r="28" spans="7:13" x14ac:dyDescent="0.25">
      <c r="G28"/>
      <c r="H28"/>
      <c r="I28"/>
    </row>
    <row r="29" spans="7:13" x14ac:dyDescent="0.25">
      <c r="G29"/>
      <c r="H29"/>
      <c r="I29"/>
    </row>
    <row r="30" spans="7:13" x14ac:dyDescent="0.25">
      <c r="G30"/>
      <c r="H30"/>
      <c r="I30"/>
    </row>
  </sheetData>
  <mergeCells count="1">
    <mergeCell ref="E2:N2"/>
  </mergeCells>
  <pageMargins left="0.7" right="0.7" top="0.75" bottom="0.75" header="0.3" footer="0.3"/>
  <pageSetup scale="44" fitToHeight="0"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pageSetUpPr fitToPage="1"/>
  </sheetPr>
  <dimension ref="A1:Q30"/>
  <sheetViews>
    <sheetView topLeftCell="E1" zoomScale="80" zoomScaleNormal="80" workbookViewId="0">
      <selection activeCell="E14" sqref="E14"/>
    </sheetView>
  </sheetViews>
  <sheetFormatPr baseColWidth="10" defaultRowHeight="15" x14ac:dyDescent="0.25"/>
  <cols>
    <col min="1" max="2" width="4.28515625" hidden="1" customWidth="1"/>
    <col min="3" max="3" width="2.28515625" hidden="1" customWidth="1"/>
    <col min="4" max="4" width="20.42578125" hidden="1" customWidth="1"/>
    <col min="5" max="5" width="18" customWidth="1"/>
    <col min="6" max="6" width="46.85546875" customWidth="1"/>
    <col min="7" max="7" width="14.28515625" customWidth="1"/>
    <col min="8" max="8" width="15.28515625" customWidth="1"/>
    <col min="9" max="9" width="18.140625" customWidth="1"/>
    <col min="10" max="10" width="19.5703125" customWidth="1"/>
    <col min="11" max="11" width="18.140625" customWidth="1"/>
    <col min="12" max="13" width="17.28515625" customWidth="1"/>
    <col min="14" max="14" width="17.42578125" customWidth="1"/>
    <col min="15" max="15" width="18.140625" customWidth="1"/>
    <col min="16" max="16" width="13.28515625" customWidth="1"/>
    <col min="17" max="17" width="22.28515625" customWidth="1"/>
  </cols>
  <sheetData>
    <row r="1" spans="1:17" x14ac:dyDescent="0.25">
      <c r="C1" s="1"/>
      <c r="D1" s="1"/>
      <c r="E1" s="1"/>
      <c r="F1" s="5"/>
      <c r="G1" s="1"/>
      <c r="H1" s="1"/>
      <c r="I1" s="1"/>
      <c r="J1" s="1"/>
      <c r="K1" s="1"/>
      <c r="L1" s="1"/>
      <c r="M1" s="1"/>
      <c r="N1" s="1"/>
      <c r="O1" s="1"/>
      <c r="P1" s="1"/>
      <c r="Q1" s="1"/>
    </row>
    <row r="2" spans="1:17" ht="80.25" customHeight="1" x14ac:dyDescent="0.25">
      <c r="C2" s="5" t="s">
        <v>96</v>
      </c>
      <c r="D2" s="1"/>
      <c r="E2" s="37" t="str">
        <f>SUBSTITUTE(SUBSTITUTE(C2,"$POA$",'ACP-OPER'!A6),"$MES$",'ACP-OPER'!B6)</f>
        <v>Seguimiento y Evaluación de la ejecución del 
PLAN OPERATIVO ANUAL (POA) 2024 al mes de MARZO
Indicadores generales de eficacia y eficiencia por Acción de Corto Plazo</v>
      </c>
      <c r="F2" s="37"/>
      <c r="G2" s="37"/>
      <c r="H2" s="37"/>
      <c r="I2" s="37"/>
      <c r="J2" s="37"/>
      <c r="K2" s="37"/>
      <c r="L2" s="37"/>
      <c r="M2" s="37"/>
      <c r="N2" s="37"/>
      <c r="O2" s="37"/>
      <c r="P2" s="37"/>
      <c r="Q2" s="37"/>
    </row>
    <row r="3" spans="1:17" ht="8.25" customHeight="1" x14ac:dyDescent="0.25">
      <c r="C3" s="1"/>
      <c r="D3" s="1"/>
      <c r="E3" s="2"/>
      <c r="F3" s="2"/>
      <c r="G3" s="2"/>
      <c r="H3" s="2"/>
      <c r="I3" s="2"/>
      <c r="J3" s="2"/>
      <c r="K3" s="2"/>
      <c r="L3" s="2"/>
      <c r="M3" s="2"/>
      <c r="N3" s="2"/>
      <c r="O3" s="2"/>
      <c r="P3" s="2"/>
      <c r="Q3" s="2"/>
    </row>
    <row r="4" spans="1:17" ht="15" hidden="1" customHeight="1" x14ac:dyDescent="0.25">
      <c r="C4" s="1"/>
      <c r="D4" s="1"/>
      <c r="E4" s="2"/>
      <c r="F4" s="2"/>
      <c r="G4" s="2"/>
      <c r="H4" s="2"/>
      <c r="I4" s="2"/>
      <c r="J4" s="2"/>
      <c r="K4" s="2"/>
      <c r="L4" s="2"/>
      <c r="M4" s="2"/>
      <c r="N4" s="2"/>
      <c r="O4" s="2"/>
      <c r="P4" s="2"/>
      <c r="Q4" s="2"/>
    </row>
    <row r="5" spans="1:17" ht="2.25" customHeight="1" x14ac:dyDescent="0.25">
      <c r="C5" s="1"/>
      <c r="D5" s="1"/>
      <c r="E5" s="1"/>
      <c r="F5" s="1"/>
      <c r="G5" s="3"/>
      <c r="H5" s="3"/>
      <c r="I5" s="3"/>
      <c r="J5" s="3"/>
      <c r="K5" s="3"/>
      <c r="L5" s="3"/>
      <c r="M5" s="3"/>
      <c r="N5" s="3"/>
      <c r="O5" s="3"/>
      <c r="P5" s="3"/>
      <c r="Q5" s="3"/>
    </row>
    <row r="6" spans="1:17" ht="62.25" hidden="1" customHeight="1" x14ac:dyDescent="0.25">
      <c r="A6" s="8"/>
      <c r="B6" s="4"/>
      <c r="E6" s="1"/>
    </row>
    <row r="7" spans="1:17" ht="18.75" hidden="1" customHeight="1" x14ac:dyDescent="0.25">
      <c r="C7" s="4"/>
      <c r="E7" s="1"/>
      <c r="F7" s="1"/>
      <c r="G7" s="1"/>
      <c r="H7" s="1"/>
      <c r="I7" s="1"/>
      <c r="J7" s="1"/>
      <c r="K7" s="1"/>
      <c r="L7" s="1"/>
      <c r="M7" s="1"/>
      <c r="N7" s="1"/>
      <c r="O7" s="1"/>
      <c r="P7" s="1"/>
      <c r="Q7" s="1"/>
    </row>
    <row r="8" spans="1:17" ht="22.5" hidden="1" customHeight="1" x14ac:dyDescent="0.25"/>
    <row r="9" spans="1:17" ht="19.5" hidden="1" customHeight="1" x14ac:dyDescent="0.25"/>
    <row r="10" spans="1:17" hidden="1" x14ac:dyDescent="0.25"/>
    <row r="11" spans="1:17" hidden="1" x14ac:dyDescent="0.25"/>
    <row r="12" spans="1:17" ht="34.5" hidden="1" customHeight="1" x14ac:dyDescent="0.25"/>
    <row r="13" spans="1:17" ht="78.75" customHeight="1" x14ac:dyDescent="0.25">
      <c r="D13" s="7" t="s">
        <v>7</v>
      </c>
      <c r="E13" s="24" t="s">
        <v>89</v>
      </c>
      <c r="F13" s="24" t="s">
        <v>0</v>
      </c>
      <c r="G13" s="24" t="s">
        <v>3</v>
      </c>
      <c r="H13" s="24" t="s">
        <v>93</v>
      </c>
      <c r="I13" s="25" t="s">
        <v>14</v>
      </c>
      <c r="J13" s="25" t="s">
        <v>15</v>
      </c>
      <c r="K13" s="25" t="s">
        <v>97</v>
      </c>
      <c r="L13" s="26" t="s">
        <v>98</v>
      </c>
      <c r="M13" s="26" t="s">
        <v>99</v>
      </c>
      <c r="N13" s="26" t="s">
        <v>100</v>
      </c>
      <c r="O13" s="27" t="s">
        <v>13</v>
      </c>
      <c r="P13" s="24" t="s">
        <v>103</v>
      </c>
      <c r="Q13" s="24" t="s">
        <v>2</v>
      </c>
    </row>
    <row r="14" spans="1:17" ht="105" x14ac:dyDescent="0.25">
      <c r="D14" s="13"/>
      <c r="E14" s="21" t="s">
        <v>24</v>
      </c>
      <c r="F14" s="28" t="s">
        <v>102</v>
      </c>
      <c r="G14" s="11">
        <v>0.01</v>
      </c>
      <c r="H14" s="13" t="s">
        <v>20</v>
      </c>
      <c r="I14" s="18">
        <v>58489510166</v>
      </c>
      <c r="J14" s="18">
        <v>58489510166</v>
      </c>
      <c r="K14" s="18">
        <v>58489510166</v>
      </c>
      <c r="L14" s="18">
        <v>58489510166</v>
      </c>
      <c r="M14" s="18">
        <v>58489510166</v>
      </c>
      <c r="N14" s="18">
        <v>58489510166</v>
      </c>
      <c r="O14" s="18">
        <v>58489510166</v>
      </c>
      <c r="P14" s="11">
        <v>1</v>
      </c>
      <c r="Q14" s="13" t="s">
        <v>101</v>
      </c>
    </row>
    <row r="15" spans="1:17" x14ac:dyDescent="0.25">
      <c r="D15" s="29"/>
      <c r="E15" s="21"/>
      <c r="F15" s="23"/>
      <c r="G15" s="11"/>
      <c r="H15" s="29"/>
      <c r="I15" s="30"/>
      <c r="J15" s="30"/>
      <c r="K15" s="30"/>
      <c r="L15" s="30"/>
      <c r="M15" s="30"/>
      <c r="N15" s="30"/>
      <c r="O15" s="30"/>
      <c r="P15" s="31"/>
      <c r="Q15" s="29"/>
    </row>
    <row r="16" spans="1:17" x14ac:dyDescent="0.25">
      <c r="D16" s="29"/>
      <c r="E16" s="21"/>
      <c r="F16" s="23"/>
      <c r="G16" s="11"/>
      <c r="H16" s="29"/>
      <c r="I16" s="30"/>
      <c r="J16" s="30"/>
      <c r="K16" s="30"/>
      <c r="L16" s="30"/>
      <c r="M16" s="30"/>
      <c r="N16" s="30"/>
      <c r="O16" s="30"/>
      <c r="P16" s="31"/>
      <c r="Q16" s="29"/>
    </row>
    <row r="17" spans="4:17" x14ac:dyDescent="0.25">
      <c r="D17" s="29"/>
      <c r="E17" s="21"/>
      <c r="F17" s="23"/>
      <c r="G17" s="11"/>
      <c r="H17" s="29"/>
      <c r="I17" s="30"/>
      <c r="J17" s="30"/>
      <c r="K17" s="30"/>
      <c r="L17" s="30"/>
      <c r="M17" s="30"/>
      <c r="N17" s="30"/>
      <c r="O17" s="30"/>
      <c r="P17" s="31"/>
      <c r="Q17" s="29"/>
    </row>
    <row r="18" spans="4:17" x14ac:dyDescent="0.25">
      <c r="D18" s="29"/>
      <c r="E18" s="21"/>
      <c r="F18" s="23"/>
      <c r="G18" s="11"/>
      <c r="H18" s="29"/>
      <c r="I18" s="30"/>
      <c r="J18" s="30"/>
      <c r="K18" s="30"/>
      <c r="L18" s="30"/>
      <c r="M18" s="30"/>
      <c r="N18" s="30"/>
      <c r="O18" s="30"/>
      <c r="P18" s="31"/>
      <c r="Q18" s="29"/>
    </row>
    <row r="19" spans="4:17" x14ac:dyDescent="0.25">
      <c r="D19" s="29"/>
      <c r="E19" s="21"/>
      <c r="F19" s="23"/>
      <c r="G19" s="11"/>
      <c r="H19" s="29"/>
      <c r="I19" s="30"/>
      <c r="J19" s="30"/>
      <c r="K19" s="30"/>
      <c r="L19" s="30"/>
      <c r="M19" s="30"/>
      <c r="N19" s="30"/>
      <c r="O19" s="30"/>
      <c r="P19" s="31"/>
      <c r="Q19" s="29"/>
    </row>
    <row r="20" spans="4:17" x14ac:dyDescent="0.25">
      <c r="D20" s="29"/>
      <c r="E20" s="21"/>
      <c r="F20" s="23"/>
      <c r="G20" s="11"/>
      <c r="H20" s="29"/>
      <c r="I20" s="30"/>
      <c r="J20" s="30"/>
      <c r="K20" s="30"/>
      <c r="L20" s="30"/>
      <c r="M20" s="30"/>
      <c r="N20" s="30"/>
      <c r="O20" s="30"/>
      <c r="P20" s="31"/>
      <c r="Q20" s="29"/>
    </row>
    <row r="21" spans="4:17" x14ac:dyDescent="0.25">
      <c r="D21" s="29"/>
      <c r="E21" s="21"/>
      <c r="F21" s="23"/>
      <c r="G21" s="11"/>
      <c r="H21" s="29"/>
      <c r="I21" s="30"/>
      <c r="J21" s="30"/>
      <c r="K21" s="30"/>
      <c r="L21" s="30"/>
      <c r="M21" s="30"/>
      <c r="N21" s="30"/>
      <c r="O21" s="30"/>
      <c r="P21" s="31"/>
      <c r="Q21" s="29"/>
    </row>
    <row r="22" spans="4:17" x14ac:dyDescent="0.25">
      <c r="D22" s="29"/>
      <c r="E22" s="21"/>
      <c r="F22" s="23"/>
      <c r="G22" s="11"/>
      <c r="H22" s="29"/>
      <c r="I22" s="30"/>
      <c r="J22" s="30"/>
      <c r="K22" s="30"/>
      <c r="L22" s="30"/>
      <c r="M22" s="30"/>
      <c r="N22" s="30"/>
      <c r="O22" s="30"/>
      <c r="P22" s="31"/>
      <c r="Q22" s="29"/>
    </row>
    <row r="23" spans="4:17" x14ac:dyDescent="0.25">
      <c r="D23" s="29"/>
      <c r="E23" s="21"/>
      <c r="F23" s="23"/>
      <c r="G23" s="11"/>
      <c r="H23" s="29"/>
      <c r="I23" s="30"/>
      <c r="J23" s="30"/>
      <c r="K23" s="30"/>
      <c r="L23" s="30"/>
      <c r="M23" s="30"/>
      <c r="N23" s="30"/>
      <c r="O23" s="30"/>
      <c r="P23" s="31"/>
      <c r="Q23" s="29"/>
    </row>
    <row r="24" spans="4:17" x14ac:dyDescent="0.25">
      <c r="D24" s="29"/>
      <c r="E24" s="21"/>
      <c r="F24" s="23"/>
      <c r="G24" s="11"/>
      <c r="H24" s="29"/>
      <c r="I24" s="30"/>
      <c r="J24" s="30"/>
      <c r="K24" s="30"/>
      <c r="L24" s="30"/>
      <c r="M24" s="30"/>
      <c r="N24" s="30"/>
      <c r="O24" s="30"/>
      <c r="P24" s="31"/>
      <c r="Q24" s="29"/>
    </row>
    <row r="25" spans="4:17" x14ac:dyDescent="0.25">
      <c r="D25" s="29"/>
      <c r="E25" s="21"/>
      <c r="F25" s="23"/>
      <c r="G25" s="11"/>
      <c r="H25" s="29"/>
      <c r="I25" s="30"/>
      <c r="J25" s="30"/>
      <c r="K25" s="30"/>
      <c r="L25" s="30"/>
      <c r="M25" s="30"/>
      <c r="N25" s="30"/>
      <c r="O25" s="30"/>
      <c r="P25" s="31"/>
      <c r="Q25" s="29"/>
    </row>
    <row r="26" spans="4:17" x14ac:dyDescent="0.25">
      <c r="D26" s="29"/>
      <c r="E26" s="21"/>
      <c r="F26" s="23"/>
      <c r="G26" s="11"/>
      <c r="H26" s="29"/>
      <c r="I26" s="30"/>
      <c r="J26" s="30"/>
      <c r="K26" s="30"/>
      <c r="L26" s="30"/>
      <c r="M26" s="30"/>
      <c r="N26" s="30"/>
      <c r="O26" s="30"/>
      <c r="P26" s="31"/>
      <c r="Q26" s="29"/>
    </row>
    <row r="27" spans="4:17" x14ac:dyDescent="0.25">
      <c r="D27" s="29"/>
      <c r="E27" s="21"/>
      <c r="F27" s="23"/>
      <c r="G27" s="11"/>
      <c r="H27" s="29"/>
      <c r="I27" s="30"/>
      <c r="J27" s="30"/>
      <c r="K27" s="30"/>
      <c r="L27" s="30"/>
      <c r="M27" s="30"/>
      <c r="N27" s="30"/>
      <c r="O27" s="30"/>
      <c r="P27" s="31"/>
      <c r="Q27" s="29"/>
    </row>
    <row r="28" spans="4:17" x14ac:dyDescent="0.25">
      <c r="D28" s="29"/>
      <c r="E28" s="21"/>
      <c r="F28" s="23"/>
      <c r="G28" s="11"/>
      <c r="H28" s="29"/>
      <c r="I28" s="30"/>
      <c r="J28" s="30"/>
      <c r="K28" s="30"/>
      <c r="L28" s="30"/>
      <c r="M28" s="30"/>
      <c r="N28" s="30"/>
      <c r="O28" s="30"/>
      <c r="P28" s="31"/>
      <c r="Q28" s="29"/>
    </row>
    <row r="29" spans="4:17" x14ac:dyDescent="0.25">
      <c r="D29" s="29"/>
      <c r="E29" s="21"/>
      <c r="F29" s="23"/>
      <c r="G29" s="11"/>
      <c r="H29" s="29"/>
      <c r="I29" s="30"/>
      <c r="J29" s="30"/>
      <c r="K29" s="30"/>
      <c r="L29" s="30"/>
      <c r="M29" s="30"/>
      <c r="N29" s="30"/>
      <c r="O29" s="30"/>
      <c r="P29" s="31"/>
      <c r="Q29" s="29"/>
    </row>
    <row r="30" spans="4:17" x14ac:dyDescent="0.25">
      <c r="D30" s="29"/>
      <c r="E30" s="21"/>
      <c r="F30" s="23"/>
      <c r="G30" s="11"/>
      <c r="H30" s="29"/>
      <c r="I30" s="30"/>
      <c r="J30" s="30"/>
      <c r="K30" s="30"/>
      <c r="L30" s="30"/>
      <c r="M30" s="30"/>
      <c r="N30" s="30"/>
      <c r="O30" s="30"/>
      <c r="P30" s="31"/>
      <c r="Q30" s="29"/>
    </row>
  </sheetData>
  <mergeCells count="1">
    <mergeCell ref="E2:Q2"/>
  </mergeCells>
  <conditionalFormatting sqref="H14:O30">
    <cfRule type="cellIs" dxfId="26" priority="24" operator="equal">
      <formula>"INCUMPLIDO"</formula>
    </cfRule>
    <cfRule type="cellIs" dxfId="25" priority="25" operator="equal">
      <formula>"REZAGADO"</formula>
    </cfRule>
    <cfRule type="cellIs" dxfId="24" priority="26" operator="equal">
      <formula>"ACEPTABLE"</formula>
    </cfRule>
    <cfRule type="cellIs" dxfId="23" priority="27" operator="equal">
      <formula>"SATISFACTORIO"</formula>
    </cfRule>
  </conditionalFormatting>
  <conditionalFormatting sqref="I14:Q30 D14:D30 F14:G30">
    <cfRule type="expression" dxfId="22" priority="6">
      <formula>$D14="TOTAL GENERAL"</formula>
    </cfRule>
    <cfRule type="expression" dxfId="21" priority="7">
      <formula>$D14="TOTAL EFICACIA ACP"</formula>
    </cfRule>
  </conditionalFormatting>
  <conditionalFormatting sqref="E14:E30">
    <cfRule type="expression" dxfId="20" priority="5">
      <formula>$D14="TOTAL GENERAL"</formula>
    </cfRule>
  </conditionalFormatting>
  <conditionalFormatting sqref="I14:Q30">
    <cfRule type="expression" dxfId="19" priority="4">
      <formula>AND( ISBLANK($I14),NOT( ISBLANK($E14)))</formula>
    </cfRule>
  </conditionalFormatting>
  <conditionalFormatting sqref="E14:Q30">
    <cfRule type="expression" dxfId="18" priority="1">
      <formula>$E14&lt;&gt;""</formula>
    </cfRule>
  </conditionalFormatting>
  <dataValidations count="1">
    <dataValidation allowBlank="1" showInputMessage="1" showErrorMessage="1" errorTitle="Kronos" error="El nombre de la empresa está incorrecto. Verifique que coincida con una empresa permitida por el sistema." sqref="F14:F30"/>
  </dataValidations>
  <pageMargins left="0.70866141732283472" right="0.70866141732283472" top="0.74803149606299213" bottom="0.74803149606299213" header="0.31496062992125984" footer="0.31496062992125984"/>
  <pageSetup scale="48" fitToHeight="0" orientation="landscape"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ACP-OPER</vt:lpstr>
      <vt:lpstr>ACP-POND</vt:lpstr>
      <vt:lpstr>GRAF-ACP</vt:lpstr>
      <vt:lpstr>ACP-EJEC-PPTO</vt:lpstr>
      <vt:lpstr>'ACP-EJEC-PPTO'!Títulos_a_imprimir</vt:lpstr>
      <vt:lpstr>'ACP-POND'!Títulos_a_imprimir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Roger Diego Flores Condori</dc:creator>
  <cp:lastModifiedBy>Roger Diego Flores Condori</cp:lastModifiedBy>
  <cp:lastPrinted>2024-05-08T15:07:59Z</cp:lastPrinted>
  <dcterms:created xsi:type="dcterms:W3CDTF">2021-09-03T14:37:14Z</dcterms:created>
  <dcterms:modified xsi:type="dcterms:W3CDTF">2024-05-20T17:08:48Z</dcterms:modified>
</cp:coreProperties>
</file>